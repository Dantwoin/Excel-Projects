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60" yWindow="-180" windowWidth="24030" windowHeight="9750"/>
  </bookViews>
  <sheets>
    <sheet name="Sheet1" sheetId="1" r:id="rId1"/>
    <sheet name="Sheet2" sheetId="2" r:id="rId2"/>
    <sheet name="Sheet3" sheetId="3" r:id="rId3"/>
  </sheets>
  <calcPr calcId="145621" calcMode="manual"/>
</workbook>
</file>

<file path=xl/calcChain.xml><?xml version="1.0" encoding="utf-8"?>
<calcChain xmlns="http://schemas.openxmlformats.org/spreadsheetml/2006/main">
  <c r="D7" i="1" l="1"/>
  <c r="E7" i="1"/>
  <c r="F7" i="1"/>
  <c r="G7" i="1"/>
  <c r="D8" i="1"/>
  <c r="E8" i="1"/>
  <c r="F8" i="1"/>
  <c r="G8" i="1"/>
  <c r="D9" i="1"/>
  <c r="E9" i="1"/>
  <c r="F9" i="1"/>
  <c r="G9" i="1"/>
  <c r="D10" i="1"/>
  <c r="E10" i="1"/>
  <c r="F10" i="1"/>
  <c r="G10" i="1"/>
  <c r="D11" i="1"/>
  <c r="E11" i="1"/>
  <c r="F11" i="1"/>
  <c r="G11" i="1"/>
  <c r="D12" i="1"/>
  <c r="E12" i="1"/>
  <c r="F12" i="1"/>
  <c r="G12" i="1"/>
  <c r="D13" i="1"/>
  <c r="E13" i="1"/>
  <c r="F13" i="1"/>
  <c r="G13" i="1"/>
  <c r="D14" i="1"/>
  <c r="E14" i="1"/>
  <c r="F14" i="1"/>
  <c r="G14" i="1"/>
  <c r="D15" i="1"/>
  <c r="E15" i="1"/>
  <c r="F15" i="1"/>
  <c r="G15" i="1"/>
  <c r="D16" i="1"/>
  <c r="E16" i="1"/>
  <c r="F16" i="1"/>
  <c r="G16" i="1"/>
  <c r="D17" i="1"/>
  <c r="E17" i="1"/>
  <c r="F17" i="1"/>
  <c r="G17" i="1"/>
  <c r="D18" i="1"/>
  <c r="E18" i="1"/>
  <c r="F18" i="1"/>
  <c r="G18" i="1"/>
  <c r="D19" i="1"/>
  <c r="E19" i="1"/>
  <c r="F19" i="1"/>
  <c r="G19" i="1"/>
  <c r="D20" i="1"/>
  <c r="E20" i="1"/>
  <c r="F20" i="1"/>
  <c r="G20" i="1"/>
  <c r="D21" i="1"/>
  <c r="E21" i="1"/>
  <c r="F21" i="1"/>
  <c r="G21" i="1"/>
  <c r="D22" i="1"/>
  <c r="E22" i="1"/>
  <c r="F22" i="1"/>
  <c r="G22" i="1"/>
  <c r="D23" i="1"/>
  <c r="E23" i="1"/>
  <c r="F23" i="1"/>
  <c r="G23" i="1"/>
  <c r="D24" i="1"/>
  <c r="E24" i="1"/>
  <c r="F24" i="1"/>
  <c r="G24" i="1"/>
  <c r="D25" i="1"/>
  <c r="E25" i="1"/>
  <c r="F25" i="1"/>
  <c r="G25" i="1"/>
  <c r="D26" i="1"/>
  <c r="E26" i="1"/>
  <c r="F26" i="1"/>
  <c r="G26" i="1"/>
  <c r="D27" i="1"/>
  <c r="E27" i="1"/>
  <c r="F27" i="1"/>
  <c r="G27" i="1"/>
  <c r="D28" i="1"/>
  <c r="E28" i="1"/>
  <c r="F28" i="1"/>
  <c r="G28" i="1"/>
  <c r="D29" i="1"/>
  <c r="E29" i="1"/>
  <c r="F29" i="1"/>
  <c r="G29" i="1"/>
  <c r="D30" i="1"/>
  <c r="E30" i="1"/>
  <c r="F30" i="1"/>
  <c r="G30" i="1"/>
  <c r="D31" i="1"/>
  <c r="E31" i="1"/>
  <c r="F31" i="1"/>
  <c r="G31" i="1"/>
  <c r="D32" i="1"/>
  <c r="E32" i="1"/>
  <c r="F32" i="1"/>
  <c r="G32" i="1"/>
  <c r="D33" i="1"/>
  <c r="E33" i="1"/>
  <c r="F33" i="1"/>
  <c r="G33" i="1"/>
  <c r="D34" i="1"/>
  <c r="E34" i="1"/>
  <c r="F34" i="1"/>
  <c r="G34" i="1"/>
  <c r="D35" i="1"/>
  <c r="E35" i="1"/>
  <c r="F35" i="1"/>
  <c r="G35" i="1"/>
  <c r="D36" i="1"/>
  <c r="E36" i="1"/>
  <c r="F36" i="1"/>
  <c r="G36" i="1"/>
  <c r="D37" i="1"/>
  <c r="E37" i="1"/>
  <c r="F37" i="1"/>
  <c r="G37" i="1"/>
  <c r="D38" i="1"/>
  <c r="E38" i="1"/>
  <c r="F38" i="1"/>
  <c r="G38" i="1"/>
  <c r="D39" i="1"/>
  <c r="E39" i="1"/>
  <c r="F39" i="1"/>
  <c r="G39" i="1"/>
  <c r="D40" i="1"/>
  <c r="E40" i="1"/>
  <c r="F40" i="1"/>
  <c r="G40" i="1"/>
  <c r="D41" i="1"/>
  <c r="E41" i="1"/>
  <c r="F41" i="1"/>
  <c r="G41" i="1"/>
  <c r="D42" i="1"/>
  <c r="E42" i="1"/>
  <c r="F42" i="1"/>
  <c r="G42" i="1"/>
  <c r="D43" i="1"/>
  <c r="E43" i="1"/>
  <c r="F43" i="1"/>
  <c r="G43" i="1"/>
  <c r="D44" i="1"/>
  <c r="E44" i="1"/>
  <c r="F44" i="1"/>
  <c r="G44" i="1"/>
  <c r="D45" i="1"/>
  <c r="E45" i="1"/>
  <c r="F45" i="1"/>
  <c r="G45" i="1"/>
  <c r="D46" i="1"/>
  <c r="E46" i="1"/>
  <c r="F46" i="1"/>
  <c r="G46" i="1"/>
  <c r="D47" i="1"/>
  <c r="E47" i="1"/>
  <c r="F47" i="1"/>
  <c r="G47" i="1"/>
  <c r="D48" i="1"/>
  <c r="E48" i="1"/>
  <c r="F48" i="1"/>
  <c r="G48" i="1"/>
  <c r="D49" i="1"/>
  <c r="E49" i="1"/>
  <c r="F49" i="1"/>
  <c r="G49" i="1"/>
  <c r="D50" i="1"/>
  <c r="E50" i="1"/>
  <c r="F50" i="1"/>
  <c r="G50" i="1"/>
  <c r="D51" i="1"/>
  <c r="E51" i="1"/>
  <c r="F51" i="1"/>
  <c r="G51" i="1"/>
  <c r="D52" i="1"/>
  <c r="E52" i="1"/>
  <c r="F52" i="1"/>
  <c r="G52" i="1"/>
  <c r="D53" i="1"/>
  <c r="E53" i="1"/>
  <c r="F53" i="1"/>
  <c r="G53" i="1"/>
  <c r="D54" i="1"/>
  <c r="E54" i="1"/>
  <c r="F54" i="1"/>
  <c r="G54" i="1"/>
  <c r="D55" i="1"/>
  <c r="E55" i="1"/>
  <c r="F55" i="1"/>
  <c r="G55" i="1"/>
  <c r="D56" i="1"/>
  <c r="E56" i="1"/>
  <c r="F56" i="1"/>
  <c r="G56" i="1"/>
  <c r="D57" i="1"/>
  <c r="E57" i="1"/>
  <c r="F57" i="1"/>
  <c r="G57" i="1"/>
  <c r="D58" i="1"/>
  <c r="E58" i="1"/>
  <c r="F58" i="1"/>
  <c r="G58" i="1"/>
  <c r="D59" i="1"/>
  <c r="E59" i="1"/>
  <c r="F59" i="1"/>
  <c r="G59" i="1"/>
  <c r="D60" i="1"/>
  <c r="E60" i="1"/>
  <c r="F60" i="1"/>
  <c r="G60" i="1"/>
  <c r="D61" i="1"/>
  <c r="E61" i="1"/>
  <c r="F61" i="1"/>
  <c r="G61" i="1"/>
  <c r="D62" i="1"/>
  <c r="E62" i="1"/>
  <c r="F62" i="1"/>
  <c r="G62" i="1"/>
  <c r="D63" i="1"/>
  <c r="E63" i="1"/>
  <c r="F63" i="1"/>
  <c r="G63" i="1"/>
  <c r="D64" i="1"/>
  <c r="E64" i="1"/>
  <c r="F64" i="1"/>
  <c r="G64" i="1"/>
  <c r="D65" i="1"/>
  <c r="E65" i="1"/>
  <c r="F65" i="1"/>
  <c r="G65" i="1"/>
  <c r="D66" i="1"/>
  <c r="E66" i="1"/>
  <c r="F66" i="1"/>
  <c r="G66" i="1"/>
  <c r="D67" i="1"/>
  <c r="E67" i="1"/>
  <c r="F67" i="1"/>
  <c r="G67" i="1"/>
  <c r="D68" i="1"/>
  <c r="E68" i="1"/>
  <c r="F68" i="1"/>
  <c r="G68" i="1"/>
  <c r="D69" i="1"/>
  <c r="E69" i="1"/>
  <c r="F69" i="1"/>
  <c r="G69" i="1"/>
  <c r="D70" i="1"/>
  <c r="E70" i="1"/>
  <c r="F70" i="1"/>
  <c r="G70" i="1"/>
  <c r="D71" i="1"/>
  <c r="E71" i="1"/>
  <c r="F71" i="1"/>
  <c r="G71" i="1"/>
  <c r="D72" i="1"/>
  <c r="E72" i="1"/>
  <c r="F72" i="1"/>
  <c r="G72" i="1"/>
  <c r="D73" i="1"/>
  <c r="E73" i="1"/>
  <c r="F73" i="1"/>
  <c r="G73" i="1"/>
  <c r="D74" i="1"/>
  <c r="E74" i="1"/>
  <c r="F74" i="1"/>
  <c r="G74" i="1"/>
  <c r="C7" i="1"/>
  <c r="H7" i="1"/>
  <c r="C8" i="1"/>
  <c r="H8" i="1"/>
  <c r="C9" i="1"/>
  <c r="H9" i="1"/>
  <c r="C10" i="1"/>
  <c r="H10" i="1"/>
  <c r="C11" i="1"/>
  <c r="H11" i="1"/>
  <c r="C12" i="1"/>
  <c r="H12" i="1"/>
  <c r="C13" i="1"/>
  <c r="H13" i="1"/>
  <c r="C14" i="1"/>
  <c r="H14" i="1"/>
  <c r="C15" i="1"/>
  <c r="H15" i="1"/>
  <c r="C16" i="1"/>
  <c r="H16" i="1"/>
  <c r="C17" i="1"/>
  <c r="H17" i="1"/>
  <c r="C18" i="1"/>
  <c r="H18" i="1"/>
  <c r="C19" i="1"/>
  <c r="H19" i="1"/>
  <c r="C20" i="1"/>
  <c r="H20" i="1"/>
  <c r="C21" i="1"/>
  <c r="H21" i="1"/>
  <c r="C22" i="1"/>
  <c r="H22" i="1"/>
  <c r="C23" i="1"/>
  <c r="H23" i="1"/>
  <c r="C24" i="1"/>
  <c r="H24" i="1"/>
  <c r="C25" i="1"/>
  <c r="H25" i="1"/>
  <c r="C26" i="1"/>
  <c r="H26" i="1"/>
  <c r="C27" i="1"/>
  <c r="H27" i="1"/>
  <c r="C28" i="1"/>
  <c r="H28" i="1"/>
  <c r="C29" i="1"/>
  <c r="H29" i="1"/>
  <c r="C30" i="1"/>
  <c r="H30" i="1"/>
  <c r="C31" i="1"/>
  <c r="H31" i="1"/>
  <c r="C32" i="1"/>
  <c r="H32" i="1"/>
  <c r="C33" i="1"/>
  <c r="H33" i="1"/>
  <c r="C34" i="1"/>
  <c r="H34" i="1"/>
  <c r="C35" i="1"/>
  <c r="H35" i="1"/>
  <c r="C36" i="1"/>
  <c r="H36" i="1"/>
  <c r="C37" i="1"/>
  <c r="H37" i="1"/>
  <c r="C38" i="1"/>
  <c r="H38" i="1"/>
  <c r="C39" i="1"/>
  <c r="H39" i="1"/>
  <c r="C40" i="1"/>
  <c r="H40" i="1"/>
  <c r="C41" i="1"/>
  <c r="H41" i="1"/>
  <c r="C42" i="1"/>
  <c r="H42" i="1"/>
  <c r="C43" i="1"/>
  <c r="H43" i="1"/>
  <c r="C44" i="1"/>
  <c r="H44" i="1"/>
  <c r="C45" i="1"/>
  <c r="H45" i="1"/>
  <c r="C46" i="1"/>
  <c r="H46" i="1"/>
  <c r="C47" i="1"/>
  <c r="H47" i="1"/>
  <c r="C48" i="1"/>
  <c r="H48" i="1"/>
  <c r="C49" i="1"/>
  <c r="H49" i="1"/>
  <c r="C50" i="1"/>
  <c r="H50" i="1"/>
  <c r="C51" i="1"/>
  <c r="H51" i="1"/>
  <c r="C52" i="1"/>
  <c r="H52" i="1"/>
  <c r="C53" i="1"/>
  <c r="H53" i="1"/>
  <c r="C54" i="1"/>
  <c r="H54" i="1"/>
  <c r="C55" i="1"/>
  <c r="H55" i="1"/>
  <c r="C56" i="1"/>
  <c r="H56" i="1"/>
  <c r="C57" i="1"/>
  <c r="H57" i="1"/>
  <c r="C58" i="1"/>
  <c r="H58" i="1"/>
  <c r="C59" i="1"/>
  <c r="H59" i="1"/>
  <c r="C60" i="1"/>
  <c r="H60" i="1"/>
  <c r="C61" i="1"/>
  <c r="H61" i="1"/>
  <c r="C62" i="1"/>
  <c r="H62" i="1"/>
  <c r="C63" i="1"/>
  <c r="H63" i="1"/>
  <c r="C64" i="1"/>
  <c r="H64" i="1"/>
  <c r="C65" i="1"/>
  <c r="H65" i="1"/>
  <c r="C66" i="1"/>
  <c r="H66" i="1"/>
  <c r="C67" i="1"/>
  <c r="H67" i="1"/>
  <c r="C68" i="1"/>
  <c r="H68" i="1"/>
  <c r="C69" i="1"/>
  <c r="H69" i="1"/>
  <c r="C70" i="1"/>
  <c r="H70" i="1"/>
  <c r="C71" i="1"/>
  <c r="H71" i="1"/>
  <c r="C72" i="1"/>
  <c r="H72" i="1"/>
  <c r="C73" i="1"/>
  <c r="H73" i="1"/>
  <c r="C74" i="1"/>
  <c r="H74" i="1"/>
  <c r="D6" i="1"/>
  <c r="H6" i="1"/>
  <c r="G6" i="1"/>
  <c r="F6" i="1"/>
  <c r="E6" i="1"/>
  <c r="C6" i="1"/>
  <c r="I74" i="1" l="1"/>
  <c r="J74" i="1" s="1"/>
  <c r="I72" i="1"/>
  <c r="J72" i="1" s="1"/>
  <c r="I70" i="1"/>
  <c r="J70" i="1" s="1"/>
  <c r="I68" i="1"/>
  <c r="J68" i="1" s="1"/>
  <c r="I66" i="1"/>
  <c r="J66" i="1" s="1"/>
  <c r="I64" i="1"/>
  <c r="J64" i="1" s="1"/>
  <c r="I62" i="1"/>
  <c r="J62" i="1" s="1"/>
  <c r="I60" i="1"/>
  <c r="J60" i="1" s="1"/>
  <c r="I58" i="1"/>
  <c r="J58" i="1" s="1"/>
  <c r="I56" i="1"/>
  <c r="J56" i="1" s="1"/>
  <c r="I54" i="1"/>
  <c r="J54" i="1" s="1"/>
  <c r="I52" i="1"/>
  <c r="J52" i="1" s="1"/>
  <c r="I50" i="1"/>
  <c r="J50" i="1" s="1"/>
  <c r="I48" i="1"/>
  <c r="J48" i="1" s="1"/>
  <c r="I46" i="1"/>
  <c r="J46" i="1" s="1"/>
  <c r="I44" i="1"/>
  <c r="J44" i="1" s="1"/>
  <c r="I42" i="1"/>
  <c r="J42" i="1" s="1"/>
  <c r="I40" i="1"/>
  <c r="J40" i="1" s="1"/>
  <c r="I38" i="1"/>
  <c r="J38" i="1" s="1"/>
  <c r="I36" i="1"/>
  <c r="J36" i="1" s="1"/>
  <c r="I34" i="1"/>
  <c r="J34" i="1" s="1"/>
  <c r="I32" i="1"/>
  <c r="J32" i="1" s="1"/>
  <c r="I30" i="1"/>
  <c r="J30" i="1" s="1"/>
  <c r="I28" i="1"/>
  <c r="J28" i="1" s="1"/>
  <c r="I26" i="1"/>
  <c r="J26" i="1" s="1"/>
  <c r="I24" i="1"/>
  <c r="J24" i="1" s="1"/>
  <c r="I22" i="1"/>
  <c r="J22" i="1" s="1"/>
  <c r="I20" i="1"/>
  <c r="J20" i="1" s="1"/>
  <c r="I18" i="1"/>
  <c r="J18" i="1" s="1"/>
  <c r="I16" i="1"/>
  <c r="J16" i="1" s="1"/>
  <c r="I14" i="1"/>
  <c r="J14" i="1" s="1"/>
  <c r="I12" i="1"/>
  <c r="J12" i="1" s="1"/>
  <c r="I10" i="1"/>
  <c r="J10" i="1" s="1"/>
  <c r="I8" i="1"/>
  <c r="J8" i="1" s="1"/>
  <c r="I73" i="1"/>
  <c r="J73" i="1" s="1"/>
  <c r="I71" i="1"/>
  <c r="J71" i="1" s="1"/>
  <c r="I69" i="1"/>
  <c r="J69" i="1" s="1"/>
  <c r="I67" i="1"/>
  <c r="J67" i="1" s="1"/>
  <c r="I65" i="1"/>
  <c r="J65" i="1" s="1"/>
  <c r="I63" i="1"/>
  <c r="J63" i="1" s="1"/>
  <c r="I61" i="1"/>
  <c r="J61" i="1" s="1"/>
  <c r="I59" i="1"/>
  <c r="J59" i="1" s="1"/>
  <c r="I57" i="1"/>
  <c r="J57" i="1" s="1"/>
  <c r="I55" i="1"/>
  <c r="J55" i="1" s="1"/>
  <c r="I53" i="1"/>
  <c r="J53" i="1" s="1"/>
  <c r="I51" i="1"/>
  <c r="J51" i="1" s="1"/>
  <c r="I49" i="1"/>
  <c r="J49" i="1" s="1"/>
  <c r="I47" i="1"/>
  <c r="J47" i="1" s="1"/>
  <c r="I45" i="1"/>
  <c r="J45" i="1" s="1"/>
  <c r="I43" i="1"/>
  <c r="J43" i="1" s="1"/>
  <c r="I41" i="1"/>
  <c r="J41" i="1" s="1"/>
  <c r="I39" i="1"/>
  <c r="J39" i="1" s="1"/>
  <c r="I37" i="1"/>
  <c r="J37" i="1" s="1"/>
  <c r="I35" i="1"/>
  <c r="J35" i="1" s="1"/>
  <c r="I33" i="1"/>
  <c r="J33" i="1" s="1"/>
  <c r="I31" i="1"/>
  <c r="J31" i="1" s="1"/>
  <c r="I29" i="1"/>
  <c r="J29" i="1" s="1"/>
  <c r="I27" i="1"/>
  <c r="J27" i="1" s="1"/>
  <c r="I25" i="1"/>
  <c r="J25" i="1" s="1"/>
  <c r="I23" i="1"/>
  <c r="J23" i="1" s="1"/>
  <c r="I21" i="1"/>
  <c r="J21" i="1" s="1"/>
  <c r="I19" i="1"/>
  <c r="J19" i="1" s="1"/>
  <c r="I17" i="1"/>
  <c r="J17" i="1" s="1"/>
  <c r="I15" i="1"/>
  <c r="J15" i="1" s="1"/>
  <c r="I13" i="1"/>
  <c r="J13" i="1" s="1"/>
  <c r="I11" i="1"/>
  <c r="J11" i="1" s="1"/>
  <c r="I9" i="1"/>
  <c r="J9" i="1" s="1"/>
  <c r="I7" i="1"/>
  <c r="J7" i="1" s="1"/>
  <c r="I6" i="1"/>
  <c r="J6" i="1" s="1"/>
</calcChain>
</file>

<file path=xl/sharedStrings.xml><?xml version="1.0" encoding="utf-8"?>
<sst xmlns="http://schemas.openxmlformats.org/spreadsheetml/2006/main" count="96" uniqueCount="91">
  <si>
    <t>Student Name</t>
  </si>
  <si>
    <t>Harry Potter</t>
  </si>
  <si>
    <t>Ron Weasley</t>
  </si>
  <si>
    <t>Hermione Granger</t>
  </si>
  <si>
    <t>Colin Creevey</t>
  </si>
  <si>
    <t>Seamus Finnigan</t>
  </si>
  <si>
    <t>Hannah Abbott</t>
  </si>
  <si>
    <t>Pansy Parkinson</t>
  </si>
  <si>
    <t>Zacharias Smith</t>
  </si>
  <si>
    <t>Blaise Zabini</t>
  </si>
  <si>
    <t>Draco Malfoy</t>
  </si>
  <si>
    <t>Dean Thomas</t>
  </si>
  <si>
    <t>Millicent Bulstrode</t>
  </si>
  <si>
    <t>Terry Boot</t>
  </si>
  <si>
    <t>Ernie Macmillan</t>
  </si>
  <si>
    <t>Vincent Crabbe</t>
  </si>
  <si>
    <t>Gregory Goyle</t>
  </si>
  <si>
    <t>Lavender Brown</t>
  </si>
  <si>
    <t>Katie Bell</t>
  </si>
  <si>
    <t>Parvati Patil</t>
  </si>
  <si>
    <t>Dennis Creevey</t>
  </si>
  <si>
    <t>Eloise Midgen</t>
  </si>
  <si>
    <t>Ritchie Coote</t>
  </si>
  <si>
    <t>Jack Sloper</t>
  </si>
  <si>
    <t>Victoria Frobisher</t>
  </si>
  <si>
    <t>Geoffrey Hooper</t>
  </si>
  <si>
    <t>Andrew Kirke</t>
  </si>
  <si>
    <t>Demelza Robins</t>
  </si>
  <si>
    <t>Cormac McLaggen</t>
  </si>
  <si>
    <t>Neville Longbottom</t>
  </si>
  <si>
    <t>Ginny Weasley</t>
  </si>
  <si>
    <t>Romilda Vane</t>
  </si>
  <si>
    <t>Natalie McDonald</t>
  </si>
  <si>
    <t>Jimmy Peakes</t>
  </si>
  <si>
    <t>Euan Abercrombie</t>
  </si>
  <si>
    <t>Mary MacDonald</t>
  </si>
  <si>
    <t>Penelope Clearwater</t>
  </si>
  <si>
    <t>Roger Davies</t>
  </si>
  <si>
    <t>Eddie Carmichael</t>
  </si>
  <si>
    <t>Cho Chang</t>
  </si>
  <si>
    <t>Marietta Edgecombe</t>
  </si>
  <si>
    <t>Mandy Brocklehurst</t>
  </si>
  <si>
    <t>Michael Corner</t>
  </si>
  <si>
    <t>Stephen Cornfoot</t>
  </si>
  <si>
    <t>Kevin Entwhistle</t>
  </si>
  <si>
    <t>Anthony Goldstein</t>
  </si>
  <si>
    <t>Su Li</t>
  </si>
  <si>
    <t>Morag McDougal</t>
  </si>
  <si>
    <t>Padma Patil</t>
  </si>
  <si>
    <t>Lisa Turpin</t>
  </si>
  <si>
    <t>Luna Lovegood</t>
  </si>
  <si>
    <t>Orla Quirke</t>
  </si>
  <si>
    <t>Stewart Ackerley</t>
  </si>
  <si>
    <t>Susan Bones</t>
  </si>
  <si>
    <t>Eleanor Branstone</t>
  </si>
  <si>
    <t>Owen Cauldwell</t>
  </si>
  <si>
    <t>Justin Finch-Fletchley</t>
  </si>
  <si>
    <t>Wayne Hopkins</t>
  </si>
  <si>
    <t>Megan Jones</t>
  </si>
  <si>
    <t>Laura Madley</t>
  </si>
  <si>
    <t>Kevin Whitby</t>
  </si>
  <si>
    <t>Rose Zeller</t>
  </si>
  <si>
    <t>Terence Higgs</t>
  </si>
  <si>
    <t>Adrian Pucey</t>
  </si>
  <si>
    <t>Tracey Davis</t>
  </si>
  <si>
    <t>Daphne Greengrass</t>
  </si>
  <si>
    <t>Theodore Nott</t>
  </si>
  <si>
    <t>Astoria Greengrass</t>
  </si>
  <si>
    <t>Malcolm Baddock</t>
  </si>
  <si>
    <t>Graham Pritchard</t>
  </si>
  <si>
    <t>Filed Name</t>
  </si>
  <si>
    <t>Test 1</t>
  </si>
  <si>
    <t>Test 2</t>
  </si>
  <si>
    <t>Test 3</t>
  </si>
  <si>
    <t>Test 4</t>
  </si>
  <si>
    <t>Homework</t>
  </si>
  <si>
    <t>V</t>
  </si>
  <si>
    <t>=</t>
  </si>
  <si>
    <t>Uses Randbetween(60-110)</t>
  </si>
  <si>
    <t>Grade</t>
  </si>
  <si>
    <t>Hw Bonus:</t>
  </si>
  <si>
    <t>Grading:</t>
  </si>
  <si>
    <t>Criteria</t>
  </si>
  <si>
    <t>A</t>
  </si>
  <si>
    <t>B</t>
  </si>
  <si>
    <t>C</t>
  </si>
  <si>
    <t>D</t>
  </si>
  <si>
    <t>F</t>
  </si>
  <si>
    <t>Average</t>
  </si>
  <si>
    <t>Semester</t>
  </si>
  <si>
    <t>This project uses Rand to populate scores, vlookup to find grades, and vba for the below macros.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</si>
</sst>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0" fillId="2" borderId="0" xfId="0" applyFill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/>
    <xf numFmtId="0" fontId="3" fillId="2" borderId="0" xfId="0" applyFont="1" applyFill="1" applyAlignment="1">
      <alignment wrapText="1"/>
    </xf>
    <xf numFmtId="0" fontId="3" fillId="2" borderId="3" xfId="0" applyFont="1" applyFill="1" applyBorder="1" applyAlignment="1">
      <alignment horizontal="center"/>
    </xf>
    <xf numFmtId="0" fontId="3" fillId="2" borderId="3" xfId="0" applyFont="1" applyFill="1" applyBorder="1"/>
    <xf numFmtId="0" fontId="3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3" fillId="2" borderId="1" xfId="0" applyFont="1" applyFill="1" applyBorder="1" applyAlignment="1">
      <alignment wrapText="1"/>
    </xf>
    <xf numFmtId="0" fontId="3" fillId="2" borderId="1" xfId="0" applyFont="1" applyFill="1" applyBorder="1"/>
    <xf numFmtId="0" fontId="0" fillId="0" borderId="4" xfId="0" applyBorder="1" applyAlignment="1">
      <alignment horizontal="center"/>
    </xf>
    <xf numFmtId="0" fontId="0" fillId="0" borderId="4" xfId="0" applyBorder="1"/>
    <xf numFmtId="0" fontId="2" fillId="2" borderId="0" xfId="0" applyFont="1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4</xdr:row>
          <xdr:rowOff>152400</xdr:rowOff>
        </xdr:from>
        <xdr:to>
          <xdr:col>13</xdr:col>
          <xdr:colOff>457200</xdr:colOff>
          <xdr:row>5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got an A?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561975</xdr:colOff>
          <xdr:row>4</xdr:row>
          <xdr:rowOff>171450</xdr:rowOff>
        </xdr:from>
        <xdr:to>
          <xdr:col>17</xdr:col>
          <xdr:colOff>390525</xdr:colOff>
          <xdr:row>5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is the Top Student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590550</xdr:colOff>
          <xdr:row>4</xdr:row>
          <xdr:rowOff>133350</xdr:rowOff>
        </xdr:from>
        <xdr:to>
          <xdr:col>20</xdr:col>
          <xdr:colOff>381000</xdr:colOff>
          <xdr:row>6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Recaluate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Clear Results?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U84"/>
  <sheetViews>
    <sheetView tabSelected="1" zoomScale="85" zoomScaleNormal="85" workbookViewId="0">
      <selection activeCell="M6" sqref="M6"/>
    </sheetView>
  </sheetViews>
  <sheetFormatPr defaultRowHeight="15" x14ac:dyDescent="0.25"/>
  <cols>
    <col min="2" max="2" width="18.5703125" customWidth="1"/>
    <col min="3" max="3" width="21.5703125" customWidth="1"/>
    <col min="4" max="4" width="12.5703125" customWidth="1"/>
    <col min="8" max="8" width="11.28515625" customWidth="1"/>
    <col min="9" max="9" width="9.5703125" customWidth="1"/>
    <col min="10" max="10" width="7.85546875" bestFit="1" customWidth="1"/>
  </cols>
  <sheetData>
    <row r="2" spans="2:21" x14ac:dyDescent="0.25">
      <c r="D2" t="s">
        <v>77</v>
      </c>
      <c r="E2" t="s">
        <v>78</v>
      </c>
      <c r="H2" t="s">
        <v>77</v>
      </c>
    </row>
    <row r="3" spans="2:21" x14ac:dyDescent="0.25">
      <c r="D3" t="s">
        <v>76</v>
      </c>
      <c r="E3" t="s">
        <v>76</v>
      </c>
      <c r="F3" t="s">
        <v>76</v>
      </c>
      <c r="G3" t="s">
        <v>76</v>
      </c>
      <c r="H3" t="s">
        <v>76</v>
      </c>
      <c r="L3" s="2" t="s">
        <v>90</v>
      </c>
      <c r="M3" s="2"/>
      <c r="N3" s="2"/>
      <c r="O3" s="2"/>
      <c r="P3" s="2"/>
      <c r="Q3" s="2"/>
      <c r="R3" s="2"/>
      <c r="S3" s="2"/>
      <c r="T3" s="2"/>
      <c r="U3" s="2"/>
    </row>
    <row r="4" spans="2:21" x14ac:dyDescent="0.25">
      <c r="I4" s="6" t="s">
        <v>89</v>
      </c>
    </row>
    <row r="5" spans="2:21" x14ac:dyDescent="0.25">
      <c r="B5" s="12" t="s">
        <v>0</v>
      </c>
      <c r="C5" s="8" t="s">
        <v>70</v>
      </c>
      <c r="D5" s="9" t="s">
        <v>71</v>
      </c>
      <c r="E5" s="9" t="s">
        <v>72</v>
      </c>
      <c r="F5" s="9" t="s">
        <v>73</v>
      </c>
      <c r="G5" s="10" t="s">
        <v>74</v>
      </c>
      <c r="H5" s="7" t="s">
        <v>75</v>
      </c>
      <c r="I5" s="11" t="s">
        <v>88</v>
      </c>
      <c r="J5" s="9" t="s">
        <v>79</v>
      </c>
    </row>
    <row r="6" spans="2:21" x14ac:dyDescent="0.25">
      <c r="B6" s="14" t="s">
        <v>1</v>
      </c>
      <c r="C6" s="14" t="str">
        <f>MID(B6 &amp;", " &amp;B6,FIND(" ",B6)+1,LEN(B6)+1)</f>
        <v>Potter, Harry</v>
      </c>
      <c r="D6" s="13">
        <f ca="1">RANDBETWEEN(40,110)</f>
        <v>64</v>
      </c>
      <c r="E6" s="13">
        <f ca="1">RANDBETWEEN(40,100)</f>
        <v>55</v>
      </c>
      <c r="F6" s="13">
        <f ca="1">RANDBETWEEN(40,100)</f>
        <v>50</v>
      </c>
      <c r="G6" s="13">
        <f ca="1">RANDBETWEEN(40,100)</f>
        <v>77</v>
      </c>
      <c r="H6" s="13">
        <f ca="1">RANDBETWEEN(70,100)</f>
        <v>86</v>
      </c>
      <c r="I6" s="13">
        <f ca="1">AVERAGE(D6:H6)</f>
        <v>66.400000000000006</v>
      </c>
      <c r="J6" s="13" t="str">
        <f ca="1">VLOOKUP(I6,$I$80:$J$84,2,TRUE)</f>
        <v>D</v>
      </c>
    </row>
    <row r="7" spans="2:21" x14ac:dyDescent="0.25">
      <c r="B7" s="14" t="s">
        <v>2</v>
      </c>
      <c r="C7" s="14" t="str">
        <f t="shared" ref="C7:C70" si="0">MID(B7 &amp;", " &amp;B7,FIND(" ",B7)+1,LEN(B7)+1)</f>
        <v>Weasley, Ron</v>
      </c>
      <c r="D7" s="13">
        <f t="shared" ref="D7:G38" ca="1" si="1">RANDBETWEEN(40,100)</f>
        <v>79</v>
      </c>
      <c r="E7" s="13">
        <f t="shared" ca="1" si="1"/>
        <v>66</v>
      </c>
      <c r="F7" s="13">
        <f t="shared" ca="1" si="1"/>
        <v>57</v>
      </c>
      <c r="G7" s="13">
        <f t="shared" ca="1" si="1"/>
        <v>80</v>
      </c>
      <c r="H7" s="13">
        <f t="shared" ref="H7:H70" ca="1" si="2">RANDBETWEEN(70,100)</f>
        <v>91</v>
      </c>
      <c r="I7" s="13">
        <f t="shared" ref="I7:I70" ca="1" si="3">AVERAGE(D7:H7)</f>
        <v>74.599999999999994</v>
      </c>
      <c r="J7" s="13" t="str">
        <f t="shared" ref="J7:J70" ca="1" si="4">VLOOKUP(I7,$I$80:$J$84,2,TRUE)</f>
        <v>C</v>
      </c>
    </row>
    <row r="8" spans="2:21" x14ac:dyDescent="0.25">
      <c r="B8" s="14" t="s">
        <v>3</v>
      </c>
      <c r="C8" s="14" t="str">
        <f t="shared" si="0"/>
        <v>Granger, Hermione</v>
      </c>
      <c r="D8" s="13">
        <f t="shared" ca="1" si="1"/>
        <v>76</v>
      </c>
      <c r="E8" s="13">
        <f t="shared" ca="1" si="1"/>
        <v>67</v>
      </c>
      <c r="F8" s="13">
        <f t="shared" ca="1" si="1"/>
        <v>45</v>
      </c>
      <c r="G8" s="13">
        <f t="shared" ca="1" si="1"/>
        <v>46</v>
      </c>
      <c r="H8" s="13">
        <f t="shared" ca="1" si="2"/>
        <v>75</v>
      </c>
      <c r="I8" s="13">
        <f t="shared" ca="1" si="3"/>
        <v>61.8</v>
      </c>
      <c r="J8" s="13" t="str">
        <f t="shared" ca="1" si="4"/>
        <v>D</v>
      </c>
    </row>
    <row r="9" spans="2:21" x14ac:dyDescent="0.25">
      <c r="B9" s="14" t="s">
        <v>4</v>
      </c>
      <c r="C9" s="14" t="str">
        <f t="shared" si="0"/>
        <v>Creevey, Colin</v>
      </c>
      <c r="D9" s="13">
        <f t="shared" ca="1" si="1"/>
        <v>55</v>
      </c>
      <c r="E9" s="13">
        <f t="shared" ca="1" si="1"/>
        <v>57</v>
      </c>
      <c r="F9" s="13">
        <f t="shared" ca="1" si="1"/>
        <v>60</v>
      </c>
      <c r="G9" s="13">
        <f t="shared" ca="1" si="1"/>
        <v>47</v>
      </c>
      <c r="H9" s="13">
        <f t="shared" ca="1" si="2"/>
        <v>96</v>
      </c>
      <c r="I9" s="13">
        <f t="shared" ca="1" si="3"/>
        <v>63</v>
      </c>
      <c r="J9" s="13" t="str">
        <f t="shared" ca="1" si="4"/>
        <v>D</v>
      </c>
    </row>
    <row r="10" spans="2:21" x14ac:dyDescent="0.25">
      <c r="B10" s="14" t="s">
        <v>5</v>
      </c>
      <c r="C10" s="14" t="str">
        <f t="shared" si="0"/>
        <v>Finnigan, Seamus</v>
      </c>
      <c r="D10" s="13">
        <f t="shared" ca="1" si="1"/>
        <v>76</v>
      </c>
      <c r="E10" s="13">
        <f t="shared" ca="1" si="1"/>
        <v>93</v>
      </c>
      <c r="F10" s="13">
        <f t="shared" ca="1" si="1"/>
        <v>83</v>
      </c>
      <c r="G10" s="13">
        <f t="shared" ca="1" si="1"/>
        <v>88</v>
      </c>
      <c r="H10" s="13">
        <f t="shared" ca="1" si="2"/>
        <v>71</v>
      </c>
      <c r="I10" s="13">
        <f t="shared" ca="1" si="3"/>
        <v>82.2</v>
      </c>
      <c r="J10" s="13" t="str">
        <f t="shared" ca="1" si="4"/>
        <v>B</v>
      </c>
    </row>
    <row r="11" spans="2:21" x14ac:dyDescent="0.25">
      <c r="B11" s="14" t="s">
        <v>6</v>
      </c>
      <c r="C11" s="14" t="str">
        <f t="shared" si="0"/>
        <v>Abbott, Hannah</v>
      </c>
      <c r="D11" s="13">
        <f t="shared" ca="1" si="1"/>
        <v>94</v>
      </c>
      <c r="E11" s="13">
        <f t="shared" ca="1" si="1"/>
        <v>71</v>
      </c>
      <c r="F11" s="13">
        <f t="shared" ca="1" si="1"/>
        <v>97</v>
      </c>
      <c r="G11" s="13">
        <f t="shared" ca="1" si="1"/>
        <v>80</v>
      </c>
      <c r="H11" s="13">
        <f t="shared" ca="1" si="2"/>
        <v>79</v>
      </c>
      <c r="I11" s="13">
        <f t="shared" ca="1" si="3"/>
        <v>84.2</v>
      </c>
      <c r="J11" s="13" t="str">
        <f t="shared" ca="1" si="4"/>
        <v>B</v>
      </c>
    </row>
    <row r="12" spans="2:21" x14ac:dyDescent="0.25">
      <c r="B12" s="14" t="s">
        <v>7</v>
      </c>
      <c r="C12" s="14" t="str">
        <f t="shared" si="0"/>
        <v>Parkinson, Pansy</v>
      </c>
      <c r="D12" s="13">
        <f t="shared" ca="1" si="1"/>
        <v>72</v>
      </c>
      <c r="E12" s="13">
        <f t="shared" ca="1" si="1"/>
        <v>84</v>
      </c>
      <c r="F12" s="13">
        <f t="shared" ca="1" si="1"/>
        <v>67</v>
      </c>
      <c r="G12" s="13">
        <f t="shared" ca="1" si="1"/>
        <v>89</v>
      </c>
      <c r="H12" s="13">
        <f t="shared" ca="1" si="2"/>
        <v>92</v>
      </c>
      <c r="I12" s="13">
        <f t="shared" ca="1" si="3"/>
        <v>80.8</v>
      </c>
      <c r="J12" s="13" t="str">
        <f t="shared" ca="1" si="4"/>
        <v>B</v>
      </c>
    </row>
    <row r="13" spans="2:21" x14ac:dyDescent="0.25">
      <c r="B13" s="14" t="s">
        <v>8</v>
      </c>
      <c r="C13" s="14" t="str">
        <f t="shared" si="0"/>
        <v>Smith, Zacharias</v>
      </c>
      <c r="D13" s="13">
        <f t="shared" ca="1" si="1"/>
        <v>62</v>
      </c>
      <c r="E13" s="13">
        <f t="shared" ca="1" si="1"/>
        <v>65</v>
      </c>
      <c r="F13" s="13">
        <f t="shared" ca="1" si="1"/>
        <v>59</v>
      </c>
      <c r="G13" s="13">
        <f t="shared" ca="1" si="1"/>
        <v>58</v>
      </c>
      <c r="H13" s="13">
        <f t="shared" ca="1" si="2"/>
        <v>100</v>
      </c>
      <c r="I13" s="13">
        <f t="shared" ca="1" si="3"/>
        <v>68.8</v>
      </c>
      <c r="J13" s="13" t="str">
        <f t="shared" ca="1" si="4"/>
        <v>D</v>
      </c>
    </row>
    <row r="14" spans="2:21" x14ac:dyDescent="0.25">
      <c r="B14" s="14" t="s">
        <v>9</v>
      </c>
      <c r="C14" s="14" t="str">
        <f t="shared" si="0"/>
        <v>Zabini, Blaise</v>
      </c>
      <c r="D14" s="13">
        <f t="shared" ca="1" si="1"/>
        <v>52</v>
      </c>
      <c r="E14" s="13">
        <f t="shared" ca="1" si="1"/>
        <v>75</v>
      </c>
      <c r="F14" s="13">
        <f t="shared" ca="1" si="1"/>
        <v>64</v>
      </c>
      <c r="G14" s="13">
        <f t="shared" ca="1" si="1"/>
        <v>53</v>
      </c>
      <c r="H14" s="13">
        <f t="shared" ca="1" si="2"/>
        <v>99</v>
      </c>
      <c r="I14" s="13">
        <f t="shared" ca="1" si="3"/>
        <v>68.599999999999994</v>
      </c>
      <c r="J14" s="13" t="str">
        <f t="shared" ca="1" si="4"/>
        <v>D</v>
      </c>
    </row>
    <row r="15" spans="2:21" x14ac:dyDescent="0.25">
      <c r="B15" s="14" t="s">
        <v>10</v>
      </c>
      <c r="C15" s="14" t="str">
        <f t="shared" si="0"/>
        <v>Malfoy, Draco</v>
      </c>
      <c r="D15" s="13">
        <f t="shared" ca="1" si="1"/>
        <v>60</v>
      </c>
      <c r="E15" s="13">
        <f t="shared" ca="1" si="1"/>
        <v>72</v>
      </c>
      <c r="F15" s="13">
        <f t="shared" ca="1" si="1"/>
        <v>66</v>
      </c>
      <c r="G15" s="13">
        <f t="shared" ca="1" si="1"/>
        <v>59</v>
      </c>
      <c r="H15" s="13">
        <f t="shared" ca="1" si="2"/>
        <v>96</v>
      </c>
      <c r="I15" s="13">
        <f t="shared" ca="1" si="3"/>
        <v>70.599999999999994</v>
      </c>
      <c r="J15" s="13" t="str">
        <f t="shared" ca="1" si="4"/>
        <v>C</v>
      </c>
    </row>
    <row r="16" spans="2:21" x14ac:dyDescent="0.25">
      <c r="B16" s="14" t="s">
        <v>11</v>
      </c>
      <c r="C16" s="14" t="str">
        <f t="shared" si="0"/>
        <v>Thomas, Dean</v>
      </c>
      <c r="D16" s="13">
        <f t="shared" ca="1" si="1"/>
        <v>87</v>
      </c>
      <c r="E16" s="13">
        <f t="shared" ca="1" si="1"/>
        <v>41</v>
      </c>
      <c r="F16" s="13">
        <f t="shared" ca="1" si="1"/>
        <v>85</v>
      </c>
      <c r="G16" s="13">
        <f t="shared" ca="1" si="1"/>
        <v>86</v>
      </c>
      <c r="H16" s="13">
        <f t="shared" ca="1" si="2"/>
        <v>71</v>
      </c>
      <c r="I16" s="13">
        <f t="shared" ca="1" si="3"/>
        <v>74</v>
      </c>
      <c r="J16" s="13" t="str">
        <f t="shared" ca="1" si="4"/>
        <v>C</v>
      </c>
    </row>
    <row r="17" spans="2:10" x14ac:dyDescent="0.25">
      <c r="B17" s="14" t="s">
        <v>12</v>
      </c>
      <c r="C17" s="14" t="str">
        <f t="shared" si="0"/>
        <v>Bulstrode, Millicent</v>
      </c>
      <c r="D17" s="13">
        <f t="shared" ca="1" si="1"/>
        <v>83</v>
      </c>
      <c r="E17" s="13">
        <f t="shared" ca="1" si="1"/>
        <v>50</v>
      </c>
      <c r="F17" s="13">
        <f t="shared" ca="1" si="1"/>
        <v>85</v>
      </c>
      <c r="G17" s="13">
        <f t="shared" ca="1" si="1"/>
        <v>85</v>
      </c>
      <c r="H17" s="13">
        <f t="shared" ca="1" si="2"/>
        <v>95</v>
      </c>
      <c r="I17" s="13">
        <f t="shared" ca="1" si="3"/>
        <v>79.599999999999994</v>
      </c>
      <c r="J17" s="13" t="str">
        <f t="shared" ca="1" si="4"/>
        <v>C</v>
      </c>
    </row>
    <row r="18" spans="2:10" x14ac:dyDescent="0.25">
      <c r="B18" s="14" t="s">
        <v>13</v>
      </c>
      <c r="C18" s="14" t="str">
        <f t="shared" si="0"/>
        <v>Boot, Terry</v>
      </c>
      <c r="D18" s="13">
        <f t="shared" ca="1" si="1"/>
        <v>75</v>
      </c>
      <c r="E18" s="13">
        <f t="shared" ca="1" si="1"/>
        <v>81</v>
      </c>
      <c r="F18" s="13">
        <f t="shared" ca="1" si="1"/>
        <v>46</v>
      </c>
      <c r="G18" s="13">
        <f t="shared" ca="1" si="1"/>
        <v>63</v>
      </c>
      <c r="H18" s="13">
        <f t="shared" ca="1" si="2"/>
        <v>83</v>
      </c>
      <c r="I18" s="13">
        <f t="shared" ca="1" si="3"/>
        <v>69.599999999999994</v>
      </c>
      <c r="J18" s="13" t="str">
        <f t="shared" ca="1" si="4"/>
        <v>D</v>
      </c>
    </row>
    <row r="19" spans="2:10" x14ac:dyDescent="0.25">
      <c r="B19" s="14" t="s">
        <v>14</v>
      </c>
      <c r="C19" s="14" t="str">
        <f t="shared" si="0"/>
        <v>Macmillan, Ernie</v>
      </c>
      <c r="D19" s="13">
        <f t="shared" ca="1" si="1"/>
        <v>59</v>
      </c>
      <c r="E19" s="13">
        <f t="shared" ca="1" si="1"/>
        <v>56</v>
      </c>
      <c r="F19" s="13">
        <f t="shared" ca="1" si="1"/>
        <v>77</v>
      </c>
      <c r="G19" s="13">
        <f t="shared" ca="1" si="1"/>
        <v>71</v>
      </c>
      <c r="H19" s="13">
        <f t="shared" ca="1" si="2"/>
        <v>91</v>
      </c>
      <c r="I19" s="13">
        <f t="shared" ca="1" si="3"/>
        <v>70.8</v>
      </c>
      <c r="J19" s="13" t="str">
        <f t="shared" ca="1" si="4"/>
        <v>C</v>
      </c>
    </row>
    <row r="20" spans="2:10" x14ac:dyDescent="0.25">
      <c r="B20" s="14" t="s">
        <v>15</v>
      </c>
      <c r="C20" s="14" t="str">
        <f t="shared" si="0"/>
        <v>Crabbe, Vincent</v>
      </c>
      <c r="D20" s="13">
        <f t="shared" ca="1" si="1"/>
        <v>62</v>
      </c>
      <c r="E20" s="13">
        <f t="shared" ca="1" si="1"/>
        <v>72</v>
      </c>
      <c r="F20" s="13">
        <f t="shared" ca="1" si="1"/>
        <v>79</v>
      </c>
      <c r="G20" s="13">
        <f t="shared" ca="1" si="1"/>
        <v>52</v>
      </c>
      <c r="H20" s="13">
        <f t="shared" ca="1" si="2"/>
        <v>87</v>
      </c>
      <c r="I20" s="13">
        <f t="shared" ca="1" si="3"/>
        <v>70.400000000000006</v>
      </c>
      <c r="J20" s="13" t="str">
        <f t="shared" ca="1" si="4"/>
        <v>C</v>
      </c>
    </row>
    <row r="21" spans="2:10" x14ac:dyDescent="0.25">
      <c r="B21" s="14" t="s">
        <v>16</v>
      </c>
      <c r="C21" s="14" t="str">
        <f t="shared" si="0"/>
        <v>Goyle, Gregory</v>
      </c>
      <c r="D21" s="13">
        <f t="shared" ca="1" si="1"/>
        <v>81</v>
      </c>
      <c r="E21" s="13">
        <f t="shared" ca="1" si="1"/>
        <v>98</v>
      </c>
      <c r="F21" s="13">
        <f t="shared" ca="1" si="1"/>
        <v>63</v>
      </c>
      <c r="G21" s="13">
        <f t="shared" ca="1" si="1"/>
        <v>57</v>
      </c>
      <c r="H21" s="13">
        <f t="shared" ca="1" si="2"/>
        <v>84</v>
      </c>
      <c r="I21" s="13">
        <f t="shared" ca="1" si="3"/>
        <v>76.599999999999994</v>
      </c>
      <c r="J21" s="13" t="str">
        <f t="shared" ca="1" si="4"/>
        <v>C</v>
      </c>
    </row>
    <row r="22" spans="2:10" x14ac:dyDescent="0.25">
      <c r="B22" s="14" t="s">
        <v>17</v>
      </c>
      <c r="C22" s="14" t="str">
        <f t="shared" si="0"/>
        <v>Brown, Lavender</v>
      </c>
      <c r="D22" s="13">
        <f t="shared" ca="1" si="1"/>
        <v>79</v>
      </c>
      <c r="E22" s="13">
        <f t="shared" ca="1" si="1"/>
        <v>52</v>
      </c>
      <c r="F22" s="13">
        <f t="shared" ca="1" si="1"/>
        <v>83</v>
      </c>
      <c r="G22" s="13">
        <f t="shared" ca="1" si="1"/>
        <v>54</v>
      </c>
      <c r="H22" s="13">
        <f t="shared" ca="1" si="2"/>
        <v>90</v>
      </c>
      <c r="I22" s="13">
        <f t="shared" ca="1" si="3"/>
        <v>71.599999999999994</v>
      </c>
      <c r="J22" s="13" t="str">
        <f t="shared" ca="1" si="4"/>
        <v>C</v>
      </c>
    </row>
    <row r="23" spans="2:10" x14ac:dyDescent="0.25">
      <c r="B23" s="14" t="s">
        <v>18</v>
      </c>
      <c r="C23" s="14" t="str">
        <f t="shared" si="0"/>
        <v>Bell, Katie</v>
      </c>
      <c r="D23" s="13">
        <f t="shared" ca="1" si="1"/>
        <v>52</v>
      </c>
      <c r="E23" s="13">
        <f t="shared" ca="1" si="1"/>
        <v>70</v>
      </c>
      <c r="F23" s="13">
        <f t="shared" ca="1" si="1"/>
        <v>64</v>
      </c>
      <c r="G23" s="13">
        <f t="shared" ca="1" si="1"/>
        <v>78</v>
      </c>
      <c r="H23" s="13">
        <f t="shared" ca="1" si="2"/>
        <v>79</v>
      </c>
      <c r="I23" s="13">
        <f t="shared" ca="1" si="3"/>
        <v>68.599999999999994</v>
      </c>
      <c r="J23" s="13" t="str">
        <f t="shared" ca="1" si="4"/>
        <v>D</v>
      </c>
    </row>
    <row r="24" spans="2:10" x14ac:dyDescent="0.25">
      <c r="B24" s="14" t="s">
        <v>19</v>
      </c>
      <c r="C24" s="14" t="str">
        <f t="shared" si="0"/>
        <v>Patil, Parvati</v>
      </c>
      <c r="D24" s="13">
        <f t="shared" ca="1" si="1"/>
        <v>56</v>
      </c>
      <c r="E24" s="13">
        <f t="shared" ca="1" si="1"/>
        <v>41</v>
      </c>
      <c r="F24" s="13">
        <f t="shared" ca="1" si="1"/>
        <v>45</v>
      </c>
      <c r="G24" s="13">
        <f t="shared" ca="1" si="1"/>
        <v>57</v>
      </c>
      <c r="H24" s="13">
        <f t="shared" ca="1" si="2"/>
        <v>96</v>
      </c>
      <c r="I24" s="13">
        <f t="shared" ca="1" si="3"/>
        <v>59</v>
      </c>
      <c r="J24" s="13" t="str">
        <f t="shared" ca="1" si="4"/>
        <v>F</v>
      </c>
    </row>
    <row r="25" spans="2:10" x14ac:dyDescent="0.25">
      <c r="B25" s="14" t="s">
        <v>20</v>
      </c>
      <c r="C25" s="14" t="str">
        <f t="shared" si="0"/>
        <v>Creevey, Dennis</v>
      </c>
      <c r="D25" s="13">
        <f t="shared" ca="1" si="1"/>
        <v>75</v>
      </c>
      <c r="E25" s="13">
        <f t="shared" ca="1" si="1"/>
        <v>78</v>
      </c>
      <c r="F25" s="13">
        <f t="shared" ca="1" si="1"/>
        <v>77</v>
      </c>
      <c r="G25" s="13">
        <f t="shared" ca="1" si="1"/>
        <v>59</v>
      </c>
      <c r="H25" s="13">
        <f t="shared" ca="1" si="2"/>
        <v>100</v>
      </c>
      <c r="I25" s="13">
        <f t="shared" ca="1" si="3"/>
        <v>77.8</v>
      </c>
      <c r="J25" s="13" t="str">
        <f t="shared" ca="1" si="4"/>
        <v>C</v>
      </c>
    </row>
    <row r="26" spans="2:10" x14ac:dyDescent="0.25">
      <c r="B26" s="14" t="s">
        <v>21</v>
      </c>
      <c r="C26" s="14" t="str">
        <f t="shared" si="0"/>
        <v>Midgen, Eloise</v>
      </c>
      <c r="D26" s="13">
        <f t="shared" ca="1" si="1"/>
        <v>44</v>
      </c>
      <c r="E26" s="13">
        <f t="shared" ca="1" si="1"/>
        <v>66</v>
      </c>
      <c r="F26" s="13">
        <f t="shared" ca="1" si="1"/>
        <v>99</v>
      </c>
      <c r="G26" s="13">
        <f t="shared" ca="1" si="1"/>
        <v>68</v>
      </c>
      <c r="H26" s="13">
        <f t="shared" ca="1" si="2"/>
        <v>90</v>
      </c>
      <c r="I26" s="13">
        <f t="shared" ca="1" si="3"/>
        <v>73.400000000000006</v>
      </c>
      <c r="J26" s="13" t="str">
        <f t="shared" ca="1" si="4"/>
        <v>C</v>
      </c>
    </row>
    <row r="27" spans="2:10" x14ac:dyDescent="0.25">
      <c r="B27" s="14" t="s">
        <v>22</v>
      </c>
      <c r="C27" s="14" t="str">
        <f t="shared" si="0"/>
        <v>Coote, Ritchie</v>
      </c>
      <c r="D27" s="13">
        <f t="shared" ca="1" si="1"/>
        <v>68</v>
      </c>
      <c r="E27" s="13">
        <f t="shared" ca="1" si="1"/>
        <v>49</v>
      </c>
      <c r="F27" s="13">
        <f t="shared" ca="1" si="1"/>
        <v>78</v>
      </c>
      <c r="G27" s="13">
        <f t="shared" ca="1" si="1"/>
        <v>50</v>
      </c>
      <c r="H27" s="13">
        <f t="shared" ca="1" si="2"/>
        <v>91</v>
      </c>
      <c r="I27" s="13">
        <f t="shared" ca="1" si="3"/>
        <v>67.2</v>
      </c>
      <c r="J27" s="13" t="str">
        <f t="shared" ca="1" si="4"/>
        <v>D</v>
      </c>
    </row>
    <row r="28" spans="2:10" x14ac:dyDescent="0.25">
      <c r="B28" s="14" t="s">
        <v>23</v>
      </c>
      <c r="C28" s="14" t="str">
        <f t="shared" si="0"/>
        <v>Sloper, Jack</v>
      </c>
      <c r="D28" s="13">
        <f t="shared" ca="1" si="1"/>
        <v>80</v>
      </c>
      <c r="E28" s="13">
        <f t="shared" ca="1" si="1"/>
        <v>66</v>
      </c>
      <c r="F28" s="13">
        <f t="shared" ca="1" si="1"/>
        <v>60</v>
      </c>
      <c r="G28" s="13">
        <f t="shared" ca="1" si="1"/>
        <v>63</v>
      </c>
      <c r="H28" s="13">
        <f t="shared" ca="1" si="2"/>
        <v>85</v>
      </c>
      <c r="I28" s="13">
        <f t="shared" ca="1" si="3"/>
        <v>70.8</v>
      </c>
      <c r="J28" s="13" t="str">
        <f t="shared" ca="1" si="4"/>
        <v>C</v>
      </c>
    </row>
    <row r="29" spans="2:10" x14ac:dyDescent="0.25">
      <c r="B29" s="14" t="s">
        <v>24</v>
      </c>
      <c r="C29" s="14" t="str">
        <f t="shared" si="0"/>
        <v>Frobisher, Victoria</v>
      </c>
      <c r="D29" s="13">
        <f t="shared" ca="1" si="1"/>
        <v>69</v>
      </c>
      <c r="E29" s="13">
        <f t="shared" ca="1" si="1"/>
        <v>46</v>
      </c>
      <c r="F29" s="13">
        <f t="shared" ca="1" si="1"/>
        <v>88</v>
      </c>
      <c r="G29" s="13">
        <f t="shared" ca="1" si="1"/>
        <v>46</v>
      </c>
      <c r="H29" s="13">
        <f t="shared" ca="1" si="2"/>
        <v>89</v>
      </c>
      <c r="I29" s="13">
        <f t="shared" ca="1" si="3"/>
        <v>67.599999999999994</v>
      </c>
      <c r="J29" s="13" t="str">
        <f t="shared" ca="1" si="4"/>
        <v>D</v>
      </c>
    </row>
    <row r="30" spans="2:10" x14ac:dyDescent="0.25">
      <c r="B30" s="14" t="s">
        <v>25</v>
      </c>
      <c r="C30" s="14" t="str">
        <f t="shared" si="0"/>
        <v>Hooper, Geoffrey</v>
      </c>
      <c r="D30" s="13">
        <f t="shared" ca="1" si="1"/>
        <v>73</v>
      </c>
      <c r="E30" s="13">
        <f t="shared" ca="1" si="1"/>
        <v>98</v>
      </c>
      <c r="F30" s="13">
        <f t="shared" ca="1" si="1"/>
        <v>68</v>
      </c>
      <c r="G30" s="13">
        <f t="shared" ca="1" si="1"/>
        <v>84</v>
      </c>
      <c r="H30" s="13">
        <f t="shared" ca="1" si="2"/>
        <v>84</v>
      </c>
      <c r="I30" s="13">
        <f t="shared" ca="1" si="3"/>
        <v>81.400000000000006</v>
      </c>
      <c r="J30" s="13" t="str">
        <f t="shared" ca="1" si="4"/>
        <v>B</v>
      </c>
    </row>
    <row r="31" spans="2:10" x14ac:dyDescent="0.25">
      <c r="B31" s="14" t="s">
        <v>26</v>
      </c>
      <c r="C31" s="14" t="str">
        <f t="shared" si="0"/>
        <v>Kirke, Andrew</v>
      </c>
      <c r="D31" s="13">
        <f t="shared" ca="1" si="1"/>
        <v>50</v>
      </c>
      <c r="E31" s="13">
        <f t="shared" ca="1" si="1"/>
        <v>88</v>
      </c>
      <c r="F31" s="13">
        <f t="shared" ca="1" si="1"/>
        <v>46</v>
      </c>
      <c r="G31" s="13">
        <f t="shared" ca="1" si="1"/>
        <v>100</v>
      </c>
      <c r="H31" s="13">
        <f t="shared" ca="1" si="2"/>
        <v>74</v>
      </c>
      <c r="I31" s="13">
        <f t="shared" ca="1" si="3"/>
        <v>71.599999999999994</v>
      </c>
      <c r="J31" s="13" t="str">
        <f t="shared" ca="1" si="4"/>
        <v>C</v>
      </c>
    </row>
    <row r="32" spans="2:10" x14ac:dyDescent="0.25">
      <c r="B32" s="14" t="s">
        <v>27</v>
      </c>
      <c r="C32" s="14" t="str">
        <f t="shared" si="0"/>
        <v>Robins, Demelza</v>
      </c>
      <c r="D32" s="13">
        <f t="shared" ca="1" si="1"/>
        <v>43</v>
      </c>
      <c r="E32" s="13">
        <f t="shared" ca="1" si="1"/>
        <v>68</v>
      </c>
      <c r="F32" s="13">
        <f t="shared" ca="1" si="1"/>
        <v>62</v>
      </c>
      <c r="G32" s="13">
        <f t="shared" ca="1" si="1"/>
        <v>81</v>
      </c>
      <c r="H32" s="13">
        <f t="shared" ca="1" si="2"/>
        <v>79</v>
      </c>
      <c r="I32" s="13">
        <f t="shared" ca="1" si="3"/>
        <v>66.599999999999994</v>
      </c>
      <c r="J32" s="13" t="str">
        <f t="shared" ca="1" si="4"/>
        <v>D</v>
      </c>
    </row>
    <row r="33" spans="2:10" x14ac:dyDescent="0.25">
      <c r="B33" s="14" t="s">
        <v>28</v>
      </c>
      <c r="C33" s="14" t="str">
        <f t="shared" si="0"/>
        <v>McLaggen, Cormac</v>
      </c>
      <c r="D33" s="13">
        <f t="shared" ca="1" si="1"/>
        <v>62</v>
      </c>
      <c r="E33" s="13">
        <f t="shared" ca="1" si="1"/>
        <v>65</v>
      </c>
      <c r="F33" s="13">
        <f t="shared" ca="1" si="1"/>
        <v>73</v>
      </c>
      <c r="G33" s="13">
        <f t="shared" ca="1" si="1"/>
        <v>79</v>
      </c>
      <c r="H33" s="13">
        <f t="shared" ca="1" si="2"/>
        <v>76</v>
      </c>
      <c r="I33" s="13">
        <f t="shared" ca="1" si="3"/>
        <v>71</v>
      </c>
      <c r="J33" s="13" t="str">
        <f t="shared" ca="1" si="4"/>
        <v>C</v>
      </c>
    </row>
    <row r="34" spans="2:10" x14ac:dyDescent="0.25">
      <c r="B34" s="14" t="s">
        <v>29</v>
      </c>
      <c r="C34" s="14" t="str">
        <f t="shared" si="0"/>
        <v>Longbottom, Neville</v>
      </c>
      <c r="D34" s="13">
        <f t="shared" ca="1" si="1"/>
        <v>96</v>
      </c>
      <c r="E34" s="13">
        <f t="shared" ca="1" si="1"/>
        <v>91</v>
      </c>
      <c r="F34" s="13">
        <f t="shared" ca="1" si="1"/>
        <v>60</v>
      </c>
      <c r="G34" s="13">
        <f t="shared" ca="1" si="1"/>
        <v>45</v>
      </c>
      <c r="H34" s="13">
        <f t="shared" ca="1" si="2"/>
        <v>95</v>
      </c>
      <c r="I34" s="13">
        <f t="shared" ca="1" si="3"/>
        <v>77.400000000000006</v>
      </c>
      <c r="J34" s="13" t="str">
        <f t="shared" ca="1" si="4"/>
        <v>C</v>
      </c>
    </row>
    <row r="35" spans="2:10" x14ac:dyDescent="0.25">
      <c r="B35" s="14" t="s">
        <v>30</v>
      </c>
      <c r="C35" s="14" t="str">
        <f t="shared" si="0"/>
        <v>Weasley, Ginny</v>
      </c>
      <c r="D35" s="13">
        <f t="shared" ca="1" si="1"/>
        <v>55</v>
      </c>
      <c r="E35" s="13">
        <f t="shared" ca="1" si="1"/>
        <v>43</v>
      </c>
      <c r="F35" s="13">
        <f t="shared" ca="1" si="1"/>
        <v>46</v>
      </c>
      <c r="G35" s="13">
        <f t="shared" ca="1" si="1"/>
        <v>85</v>
      </c>
      <c r="H35" s="13">
        <f t="shared" ca="1" si="2"/>
        <v>73</v>
      </c>
      <c r="I35" s="13">
        <f t="shared" ca="1" si="3"/>
        <v>60.4</v>
      </c>
      <c r="J35" s="13" t="str">
        <f t="shared" ca="1" si="4"/>
        <v>D</v>
      </c>
    </row>
    <row r="36" spans="2:10" x14ac:dyDescent="0.25">
      <c r="B36" s="14" t="s">
        <v>31</v>
      </c>
      <c r="C36" s="14" t="str">
        <f t="shared" si="0"/>
        <v>Vane, Romilda</v>
      </c>
      <c r="D36" s="13">
        <f t="shared" ca="1" si="1"/>
        <v>51</v>
      </c>
      <c r="E36" s="13">
        <f t="shared" ca="1" si="1"/>
        <v>45</v>
      </c>
      <c r="F36" s="13">
        <f t="shared" ca="1" si="1"/>
        <v>57</v>
      </c>
      <c r="G36" s="13">
        <f t="shared" ca="1" si="1"/>
        <v>74</v>
      </c>
      <c r="H36" s="13">
        <f t="shared" ca="1" si="2"/>
        <v>81</v>
      </c>
      <c r="I36" s="13">
        <f t="shared" ca="1" si="3"/>
        <v>61.6</v>
      </c>
      <c r="J36" s="13" t="str">
        <f t="shared" ca="1" si="4"/>
        <v>D</v>
      </c>
    </row>
    <row r="37" spans="2:10" x14ac:dyDescent="0.25">
      <c r="B37" s="14" t="s">
        <v>32</v>
      </c>
      <c r="C37" s="14" t="str">
        <f t="shared" si="0"/>
        <v>McDonald, Natalie</v>
      </c>
      <c r="D37" s="13">
        <f t="shared" ca="1" si="1"/>
        <v>100</v>
      </c>
      <c r="E37" s="13">
        <f t="shared" ca="1" si="1"/>
        <v>61</v>
      </c>
      <c r="F37" s="13">
        <f t="shared" ca="1" si="1"/>
        <v>60</v>
      </c>
      <c r="G37" s="13">
        <f t="shared" ca="1" si="1"/>
        <v>44</v>
      </c>
      <c r="H37" s="13">
        <f t="shared" ca="1" si="2"/>
        <v>86</v>
      </c>
      <c r="I37" s="13">
        <f t="shared" ca="1" si="3"/>
        <v>70.2</v>
      </c>
      <c r="J37" s="13" t="str">
        <f t="shared" ca="1" si="4"/>
        <v>C</v>
      </c>
    </row>
    <row r="38" spans="2:10" x14ac:dyDescent="0.25">
      <c r="B38" s="14" t="s">
        <v>33</v>
      </c>
      <c r="C38" s="14" t="str">
        <f t="shared" si="0"/>
        <v>Peakes, Jimmy</v>
      </c>
      <c r="D38" s="13">
        <f t="shared" ca="1" si="1"/>
        <v>71</v>
      </c>
      <c r="E38" s="13">
        <f t="shared" ca="1" si="1"/>
        <v>47</v>
      </c>
      <c r="F38" s="13">
        <f t="shared" ca="1" si="1"/>
        <v>75</v>
      </c>
      <c r="G38" s="13">
        <f t="shared" ca="1" si="1"/>
        <v>56</v>
      </c>
      <c r="H38" s="13">
        <f t="shared" ca="1" si="2"/>
        <v>89</v>
      </c>
      <c r="I38" s="13">
        <f t="shared" ca="1" si="3"/>
        <v>67.599999999999994</v>
      </c>
      <c r="J38" s="13" t="str">
        <f t="shared" ca="1" si="4"/>
        <v>D</v>
      </c>
    </row>
    <row r="39" spans="2:10" x14ac:dyDescent="0.25">
      <c r="B39" s="14" t="s">
        <v>34</v>
      </c>
      <c r="C39" s="14" t="str">
        <f t="shared" si="0"/>
        <v>Abercrombie, Euan</v>
      </c>
      <c r="D39" s="13">
        <f t="shared" ref="D39:G74" ca="1" si="5">RANDBETWEEN(40,100)</f>
        <v>46</v>
      </c>
      <c r="E39" s="13">
        <f t="shared" ca="1" si="5"/>
        <v>85</v>
      </c>
      <c r="F39" s="13">
        <f t="shared" ca="1" si="5"/>
        <v>56</v>
      </c>
      <c r="G39" s="13">
        <f t="shared" ca="1" si="5"/>
        <v>90</v>
      </c>
      <c r="H39" s="13">
        <f t="shared" ca="1" si="2"/>
        <v>71</v>
      </c>
      <c r="I39" s="13">
        <f t="shared" ca="1" si="3"/>
        <v>69.599999999999994</v>
      </c>
      <c r="J39" s="13" t="str">
        <f t="shared" ca="1" si="4"/>
        <v>D</v>
      </c>
    </row>
    <row r="40" spans="2:10" x14ac:dyDescent="0.25">
      <c r="B40" s="14" t="s">
        <v>35</v>
      </c>
      <c r="C40" s="14" t="str">
        <f t="shared" si="0"/>
        <v>MacDonald, Mary</v>
      </c>
      <c r="D40" s="13">
        <f t="shared" ca="1" si="5"/>
        <v>69</v>
      </c>
      <c r="E40" s="13">
        <f t="shared" ca="1" si="5"/>
        <v>43</v>
      </c>
      <c r="F40" s="13">
        <f t="shared" ca="1" si="5"/>
        <v>47</v>
      </c>
      <c r="G40" s="13">
        <f t="shared" ca="1" si="5"/>
        <v>87</v>
      </c>
      <c r="H40" s="13">
        <f t="shared" ca="1" si="2"/>
        <v>80</v>
      </c>
      <c r="I40" s="13">
        <f t="shared" ca="1" si="3"/>
        <v>65.2</v>
      </c>
      <c r="J40" s="13" t="str">
        <f t="shared" ca="1" si="4"/>
        <v>D</v>
      </c>
    </row>
    <row r="41" spans="2:10" x14ac:dyDescent="0.25">
      <c r="B41" s="14" t="s">
        <v>36</v>
      </c>
      <c r="C41" s="14" t="str">
        <f t="shared" si="0"/>
        <v>Clearwater, Penelope</v>
      </c>
      <c r="D41" s="13">
        <f t="shared" ca="1" si="5"/>
        <v>56</v>
      </c>
      <c r="E41" s="13">
        <f t="shared" ca="1" si="5"/>
        <v>72</v>
      </c>
      <c r="F41" s="13">
        <f t="shared" ca="1" si="5"/>
        <v>67</v>
      </c>
      <c r="G41" s="13">
        <f t="shared" ca="1" si="5"/>
        <v>40</v>
      </c>
      <c r="H41" s="13">
        <f t="shared" ca="1" si="2"/>
        <v>80</v>
      </c>
      <c r="I41" s="13">
        <f t="shared" ca="1" si="3"/>
        <v>63</v>
      </c>
      <c r="J41" s="13" t="str">
        <f t="shared" ca="1" si="4"/>
        <v>D</v>
      </c>
    </row>
    <row r="42" spans="2:10" x14ac:dyDescent="0.25">
      <c r="B42" s="14" t="s">
        <v>37</v>
      </c>
      <c r="C42" s="14" t="str">
        <f t="shared" si="0"/>
        <v>Davies, Roger</v>
      </c>
      <c r="D42" s="13">
        <f t="shared" ca="1" si="5"/>
        <v>87</v>
      </c>
      <c r="E42" s="13">
        <f t="shared" ca="1" si="5"/>
        <v>65</v>
      </c>
      <c r="F42" s="13">
        <f t="shared" ca="1" si="5"/>
        <v>73</v>
      </c>
      <c r="G42" s="13">
        <f t="shared" ca="1" si="5"/>
        <v>73</v>
      </c>
      <c r="H42" s="13">
        <f t="shared" ca="1" si="2"/>
        <v>72</v>
      </c>
      <c r="I42" s="13">
        <f t="shared" ca="1" si="3"/>
        <v>74</v>
      </c>
      <c r="J42" s="13" t="str">
        <f t="shared" ca="1" si="4"/>
        <v>C</v>
      </c>
    </row>
    <row r="43" spans="2:10" x14ac:dyDescent="0.25">
      <c r="B43" s="14" t="s">
        <v>38</v>
      </c>
      <c r="C43" s="14" t="str">
        <f t="shared" si="0"/>
        <v>Carmichael, Eddie</v>
      </c>
      <c r="D43" s="13">
        <f t="shared" ca="1" si="5"/>
        <v>81</v>
      </c>
      <c r="E43" s="13">
        <f t="shared" ca="1" si="5"/>
        <v>78</v>
      </c>
      <c r="F43" s="13">
        <f t="shared" ca="1" si="5"/>
        <v>51</v>
      </c>
      <c r="G43" s="13">
        <f t="shared" ca="1" si="5"/>
        <v>76</v>
      </c>
      <c r="H43" s="13">
        <f t="shared" ca="1" si="2"/>
        <v>94</v>
      </c>
      <c r="I43" s="13">
        <f t="shared" ca="1" si="3"/>
        <v>76</v>
      </c>
      <c r="J43" s="13" t="str">
        <f t="shared" ca="1" si="4"/>
        <v>C</v>
      </c>
    </row>
    <row r="44" spans="2:10" x14ac:dyDescent="0.25">
      <c r="B44" s="14" t="s">
        <v>39</v>
      </c>
      <c r="C44" s="14" t="str">
        <f t="shared" si="0"/>
        <v>Chang, Cho</v>
      </c>
      <c r="D44" s="13">
        <f t="shared" ca="1" si="5"/>
        <v>55</v>
      </c>
      <c r="E44" s="13">
        <f t="shared" ca="1" si="5"/>
        <v>90</v>
      </c>
      <c r="F44" s="13">
        <f t="shared" ca="1" si="5"/>
        <v>59</v>
      </c>
      <c r="G44" s="13">
        <f t="shared" ca="1" si="5"/>
        <v>88</v>
      </c>
      <c r="H44" s="13">
        <f t="shared" ca="1" si="2"/>
        <v>80</v>
      </c>
      <c r="I44" s="13">
        <f t="shared" ca="1" si="3"/>
        <v>74.400000000000006</v>
      </c>
      <c r="J44" s="13" t="str">
        <f t="shared" ca="1" si="4"/>
        <v>C</v>
      </c>
    </row>
    <row r="45" spans="2:10" x14ac:dyDescent="0.25">
      <c r="B45" s="14" t="s">
        <v>40</v>
      </c>
      <c r="C45" s="14" t="str">
        <f t="shared" si="0"/>
        <v>Edgecombe, Marietta</v>
      </c>
      <c r="D45" s="13">
        <f t="shared" ca="1" si="5"/>
        <v>99</v>
      </c>
      <c r="E45" s="13">
        <f t="shared" ca="1" si="5"/>
        <v>60</v>
      </c>
      <c r="F45" s="13">
        <f t="shared" ca="1" si="5"/>
        <v>68</v>
      </c>
      <c r="G45" s="13">
        <f t="shared" ca="1" si="5"/>
        <v>72</v>
      </c>
      <c r="H45" s="13">
        <f t="shared" ca="1" si="2"/>
        <v>100</v>
      </c>
      <c r="I45" s="13">
        <f t="shared" ca="1" si="3"/>
        <v>79.8</v>
      </c>
      <c r="J45" s="13" t="str">
        <f t="shared" ca="1" si="4"/>
        <v>C</v>
      </c>
    </row>
    <row r="46" spans="2:10" x14ac:dyDescent="0.25">
      <c r="B46" s="14" t="s">
        <v>41</v>
      </c>
      <c r="C46" s="14" t="str">
        <f t="shared" si="0"/>
        <v>Brocklehurst, Mandy</v>
      </c>
      <c r="D46" s="13">
        <f t="shared" ca="1" si="5"/>
        <v>51</v>
      </c>
      <c r="E46" s="13">
        <f t="shared" ca="1" si="5"/>
        <v>60</v>
      </c>
      <c r="F46" s="13">
        <f t="shared" ca="1" si="5"/>
        <v>68</v>
      </c>
      <c r="G46" s="13">
        <f t="shared" ca="1" si="5"/>
        <v>81</v>
      </c>
      <c r="H46" s="13">
        <f t="shared" ca="1" si="2"/>
        <v>78</v>
      </c>
      <c r="I46" s="13">
        <f t="shared" ca="1" si="3"/>
        <v>67.599999999999994</v>
      </c>
      <c r="J46" s="13" t="str">
        <f t="shared" ca="1" si="4"/>
        <v>D</v>
      </c>
    </row>
    <row r="47" spans="2:10" x14ac:dyDescent="0.25">
      <c r="B47" s="14" t="s">
        <v>42</v>
      </c>
      <c r="C47" s="14" t="str">
        <f t="shared" si="0"/>
        <v>Corner, Michael</v>
      </c>
      <c r="D47" s="13">
        <f t="shared" ca="1" si="5"/>
        <v>85</v>
      </c>
      <c r="E47" s="13">
        <f t="shared" ca="1" si="5"/>
        <v>58</v>
      </c>
      <c r="F47" s="13">
        <f t="shared" ca="1" si="5"/>
        <v>87</v>
      </c>
      <c r="G47" s="13">
        <f t="shared" ca="1" si="5"/>
        <v>80</v>
      </c>
      <c r="H47" s="13">
        <f t="shared" ca="1" si="2"/>
        <v>100</v>
      </c>
      <c r="I47" s="13">
        <f t="shared" ca="1" si="3"/>
        <v>82</v>
      </c>
      <c r="J47" s="13" t="str">
        <f t="shared" ca="1" si="4"/>
        <v>B</v>
      </c>
    </row>
    <row r="48" spans="2:10" x14ac:dyDescent="0.25">
      <c r="B48" s="14" t="s">
        <v>43</v>
      </c>
      <c r="C48" s="14" t="str">
        <f t="shared" si="0"/>
        <v>Cornfoot, Stephen</v>
      </c>
      <c r="D48" s="13">
        <f t="shared" ca="1" si="5"/>
        <v>91</v>
      </c>
      <c r="E48" s="13">
        <f t="shared" ca="1" si="5"/>
        <v>86</v>
      </c>
      <c r="F48" s="13">
        <f t="shared" ca="1" si="5"/>
        <v>74</v>
      </c>
      <c r="G48" s="13">
        <f t="shared" ca="1" si="5"/>
        <v>96</v>
      </c>
      <c r="H48" s="13">
        <f t="shared" ca="1" si="2"/>
        <v>77</v>
      </c>
      <c r="I48" s="13">
        <f t="shared" ca="1" si="3"/>
        <v>84.8</v>
      </c>
      <c r="J48" s="13" t="str">
        <f t="shared" ca="1" si="4"/>
        <v>B</v>
      </c>
    </row>
    <row r="49" spans="2:10" x14ac:dyDescent="0.25">
      <c r="B49" s="14" t="s">
        <v>44</v>
      </c>
      <c r="C49" s="14" t="str">
        <f t="shared" si="0"/>
        <v>Entwhistle, Kevin</v>
      </c>
      <c r="D49" s="13">
        <f t="shared" ca="1" si="5"/>
        <v>98</v>
      </c>
      <c r="E49" s="13">
        <f t="shared" ca="1" si="5"/>
        <v>83</v>
      </c>
      <c r="F49" s="13">
        <f t="shared" ca="1" si="5"/>
        <v>49</v>
      </c>
      <c r="G49" s="13">
        <f t="shared" ca="1" si="5"/>
        <v>45</v>
      </c>
      <c r="H49" s="13">
        <f t="shared" ca="1" si="2"/>
        <v>92</v>
      </c>
      <c r="I49" s="13">
        <f t="shared" ca="1" si="3"/>
        <v>73.400000000000006</v>
      </c>
      <c r="J49" s="13" t="str">
        <f t="shared" ca="1" si="4"/>
        <v>C</v>
      </c>
    </row>
    <row r="50" spans="2:10" x14ac:dyDescent="0.25">
      <c r="B50" s="14" t="s">
        <v>45</v>
      </c>
      <c r="C50" s="14" t="str">
        <f t="shared" si="0"/>
        <v>Goldstein, Anthony</v>
      </c>
      <c r="D50" s="13">
        <f t="shared" ca="1" si="5"/>
        <v>98</v>
      </c>
      <c r="E50" s="13">
        <f t="shared" ca="1" si="5"/>
        <v>41</v>
      </c>
      <c r="F50" s="13">
        <f t="shared" ca="1" si="5"/>
        <v>100</v>
      </c>
      <c r="G50" s="13">
        <f t="shared" ca="1" si="5"/>
        <v>93</v>
      </c>
      <c r="H50" s="13">
        <f t="shared" ca="1" si="2"/>
        <v>77</v>
      </c>
      <c r="I50" s="13">
        <f t="shared" ca="1" si="3"/>
        <v>81.8</v>
      </c>
      <c r="J50" s="13" t="str">
        <f t="shared" ca="1" si="4"/>
        <v>B</v>
      </c>
    </row>
    <row r="51" spans="2:10" x14ac:dyDescent="0.25">
      <c r="B51" s="14" t="s">
        <v>46</v>
      </c>
      <c r="C51" s="14" t="str">
        <f t="shared" si="0"/>
        <v>Li, Su</v>
      </c>
      <c r="D51" s="13">
        <f t="shared" ca="1" si="5"/>
        <v>97</v>
      </c>
      <c r="E51" s="13">
        <f t="shared" ca="1" si="5"/>
        <v>69</v>
      </c>
      <c r="F51" s="13">
        <f t="shared" ca="1" si="5"/>
        <v>45</v>
      </c>
      <c r="G51" s="13">
        <f t="shared" ca="1" si="5"/>
        <v>43</v>
      </c>
      <c r="H51" s="13">
        <f t="shared" ca="1" si="2"/>
        <v>75</v>
      </c>
      <c r="I51" s="13">
        <f t="shared" ca="1" si="3"/>
        <v>65.8</v>
      </c>
      <c r="J51" s="13" t="str">
        <f t="shared" ca="1" si="4"/>
        <v>D</v>
      </c>
    </row>
    <row r="52" spans="2:10" x14ac:dyDescent="0.25">
      <c r="B52" s="14" t="s">
        <v>47</v>
      </c>
      <c r="C52" s="14" t="str">
        <f t="shared" si="0"/>
        <v>McDougal, Morag</v>
      </c>
      <c r="D52" s="13">
        <f t="shared" ca="1" si="5"/>
        <v>65</v>
      </c>
      <c r="E52" s="13">
        <f t="shared" ca="1" si="5"/>
        <v>56</v>
      </c>
      <c r="F52" s="13">
        <f t="shared" ca="1" si="5"/>
        <v>96</v>
      </c>
      <c r="G52" s="13">
        <f t="shared" ca="1" si="5"/>
        <v>89</v>
      </c>
      <c r="H52" s="13">
        <f t="shared" ca="1" si="2"/>
        <v>99</v>
      </c>
      <c r="I52" s="13">
        <f t="shared" ca="1" si="3"/>
        <v>81</v>
      </c>
      <c r="J52" s="13" t="str">
        <f t="shared" ca="1" si="4"/>
        <v>B</v>
      </c>
    </row>
    <row r="53" spans="2:10" x14ac:dyDescent="0.25">
      <c r="B53" s="14" t="s">
        <v>48</v>
      </c>
      <c r="C53" s="14" t="str">
        <f t="shared" si="0"/>
        <v>Patil, Padma</v>
      </c>
      <c r="D53" s="13">
        <f t="shared" ca="1" si="5"/>
        <v>77</v>
      </c>
      <c r="E53" s="13">
        <f t="shared" ca="1" si="5"/>
        <v>84</v>
      </c>
      <c r="F53" s="13">
        <f t="shared" ca="1" si="5"/>
        <v>54</v>
      </c>
      <c r="G53" s="13">
        <f t="shared" ca="1" si="5"/>
        <v>68</v>
      </c>
      <c r="H53" s="13">
        <f t="shared" ca="1" si="2"/>
        <v>71</v>
      </c>
      <c r="I53" s="13">
        <f t="shared" ca="1" si="3"/>
        <v>70.8</v>
      </c>
      <c r="J53" s="13" t="str">
        <f t="shared" ca="1" si="4"/>
        <v>C</v>
      </c>
    </row>
    <row r="54" spans="2:10" x14ac:dyDescent="0.25">
      <c r="B54" s="14" t="s">
        <v>49</v>
      </c>
      <c r="C54" s="14" t="str">
        <f t="shared" si="0"/>
        <v>Turpin, Lisa</v>
      </c>
      <c r="D54" s="13">
        <f t="shared" ca="1" si="5"/>
        <v>76</v>
      </c>
      <c r="E54" s="13">
        <f t="shared" ca="1" si="5"/>
        <v>72</v>
      </c>
      <c r="F54" s="13">
        <f t="shared" ca="1" si="5"/>
        <v>80</v>
      </c>
      <c r="G54" s="13">
        <f t="shared" ca="1" si="5"/>
        <v>77</v>
      </c>
      <c r="H54" s="13">
        <f t="shared" ca="1" si="2"/>
        <v>82</v>
      </c>
      <c r="I54" s="13">
        <f t="shared" ca="1" si="3"/>
        <v>77.400000000000006</v>
      </c>
      <c r="J54" s="13" t="str">
        <f t="shared" ca="1" si="4"/>
        <v>C</v>
      </c>
    </row>
    <row r="55" spans="2:10" x14ac:dyDescent="0.25">
      <c r="B55" s="14" t="s">
        <v>50</v>
      </c>
      <c r="C55" s="14" t="str">
        <f t="shared" si="0"/>
        <v>Lovegood, Luna</v>
      </c>
      <c r="D55" s="13">
        <f t="shared" ca="1" si="5"/>
        <v>75</v>
      </c>
      <c r="E55" s="13">
        <f t="shared" ca="1" si="5"/>
        <v>95</v>
      </c>
      <c r="F55" s="13">
        <f t="shared" ca="1" si="5"/>
        <v>72</v>
      </c>
      <c r="G55" s="13">
        <f t="shared" ca="1" si="5"/>
        <v>88</v>
      </c>
      <c r="H55" s="13">
        <f t="shared" ca="1" si="2"/>
        <v>90</v>
      </c>
      <c r="I55" s="13">
        <f t="shared" ca="1" si="3"/>
        <v>84</v>
      </c>
      <c r="J55" s="13" t="str">
        <f t="shared" ca="1" si="4"/>
        <v>B</v>
      </c>
    </row>
    <row r="56" spans="2:10" x14ac:dyDescent="0.25">
      <c r="B56" s="14" t="s">
        <v>51</v>
      </c>
      <c r="C56" s="14" t="str">
        <f t="shared" si="0"/>
        <v>Quirke, Orla</v>
      </c>
      <c r="D56" s="13">
        <f t="shared" ca="1" si="5"/>
        <v>40</v>
      </c>
      <c r="E56" s="13">
        <f t="shared" ca="1" si="5"/>
        <v>73</v>
      </c>
      <c r="F56" s="13">
        <f t="shared" ca="1" si="5"/>
        <v>79</v>
      </c>
      <c r="G56" s="13">
        <f t="shared" ca="1" si="5"/>
        <v>61</v>
      </c>
      <c r="H56" s="13">
        <f t="shared" ca="1" si="2"/>
        <v>85</v>
      </c>
      <c r="I56" s="13">
        <f t="shared" ca="1" si="3"/>
        <v>67.599999999999994</v>
      </c>
      <c r="J56" s="13" t="str">
        <f t="shared" ca="1" si="4"/>
        <v>D</v>
      </c>
    </row>
    <row r="57" spans="2:10" x14ac:dyDescent="0.25">
      <c r="B57" s="14" t="s">
        <v>52</v>
      </c>
      <c r="C57" s="14" t="str">
        <f t="shared" si="0"/>
        <v>Ackerley, Stewart</v>
      </c>
      <c r="D57" s="13">
        <f t="shared" ca="1" si="5"/>
        <v>50</v>
      </c>
      <c r="E57" s="13">
        <f t="shared" ca="1" si="5"/>
        <v>61</v>
      </c>
      <c r="F57" s="13">
        <f t="shared" ca="1" si="5"/>
        <v>92</v>
      </c>
      <c r="G57" s="13">
        <f t="shared" ca="1" si="5"/>
        <v>49</v>
      </c>
      <c r="H57" s="13">
        <f t="shared" ca="1" si="2"/>
        <v>95</v>
      </c>
      <c r="I57" s="13">
        <f t="shared" ca="1" si="3"/>
        <v>69.400000000000006</v>
      </c>
      <c r="J57" s="13" t="str">
        <f t="shared" ca="1" si="4"/>
        <v>D</v>
      </c>
    </row>
    <row r="58" spans="2:10" x14ac:dyDescent="0.25">
      <c r="B58" s="14" t="s">
        <v>53</v>
      </c>
      <c r="C58" s="14" t="str">
        <f t="shared" si="0"/>
        <v>Bones, Susan</v>
      </c>
      <c r="D58" s="13">
        <f t="shared" ca="1" si="5"/>
        <v>90</v>
      </c>
      <c r="E58" s="13">
        <f t="shared" ca="1" si="5"/>
        <v>64</v>
      </c>
      <c r="F58" s="13">
        <f t="shared" ca="1" si="5"/>
        <v>76</v>
      </c>
      <c r="G58" s="13">
        <f t="shared" ca="1" si="5"/>
        <v>85</v>
      </c>
      <c r="H58" s="13">
        <f t="shared" ca="1" si="2"/>
        <v>78</v>
      </c>
      <c r="I58" s="13">
        <f t="shared" ca="1" si="3"/>
        <v>78.599999999999994</v>
      </c>
      <c r="J58" s="13" t="str">
        <f t="shared" ca="1" si="4"/>
        <v>C</v>
      </c>
    </row>
    <row r="59" spans="2:10" x14ac:dyDescent="0.25">
      <c r="B59" s="14" t="s">
        <v>54</v>
      </c>
      <c r="C59" s="14" t="str">
        <f t="shared" si="0"/>
        <v>Branstone, Eleanor</v>
      </c>
      <c r="D59" s="13">
        <f t="shared" ca="1" si="5"/>
        <v>48</v>
      </c>
      <c r="E59" s="13">
        <f t="shared" ca="1" si="5"/>
        <v>88</v>
      </c>
      <c r="F59" s="13">
        <f t="shared" ca="1" si="5"/>
        <v>65</v>
      </c>
      <c r="G59" s="13">
        <f t="shared" ca="1" si="5"/>
        <v>89</v>
      </c>
      <c r="H59" s="13">
        <f t="shared" ca="1" si="2"/>
        <v>85</v>
      </c>
      <c r="I59" s="13">
        <f t="shared" ca="1" si="3"/>
        <v>75</v>
      </c>
      <c r="J59" s="13" t="str">
        <f t="shared" ca="1" si="4"/>
        <v>C</v>
      </c>
    </row>
    <row r="60" spans="2:10" x14ac:dyDescent="0.25">
      <c r="B60" s="14" t="s">
        <v>55</v>
      </c>
      <c r="C60" s="14" t="str">
        <f t="shared" si="0"/>
        <v>Cauldwell, Owen</v>
      </c>
      <c r="D60" s="13">
        <f t="shared" ca="1" si="5"/>
        <v>50</v>
      </c>
      <c r="E60" s="13">
        <f t="shared" ca="1" si="5"/>
        <v>78</v>
      </c>
      <c r="F60" s="13">
        <f t="shared" ca="1" si="5"/>
        <v>64</v>
      </c>
      <c r="G60" s="13">
        <f t="shared" ca="1" si="5"/>
        <v>80</v>
      </c>
      <c r="H60" s="13">
        <f t="shared" ca="1" si="2"/>
        <v>95</v>
      </c>
      <c r="I60" s="13">
        <f t="shared" ca="1" si="3"/>
        <v>73.400000000000006</v>
      </c>
      <c r="J60" s="13" t="str">
        <f t="shared" ca="1" si="4"/>
        <v>C</v>
      </c>
    </row>
    <row r="61" spans="2:10" x14ac:dyDescent="0.25">
      <c r="B61" s="14" t="s">
        <v>56</v>
      </c>
      <c r="C61" s="14" t="str">
        <f t="shared" si="0"/>
        <v>Finch-Fletchley, Justin</v>
      </c>
      <c r="D61" s="13">
        <f t="shared" ca="1" si="5"/>
        <v>85</v>
      </c>
      <c r="E61" s="13">
        <f t="shared" ca="1" si="5"/>
        <v>83</v>
      </c>
      <c r="F61" s="13">
        <f t="shared" ca="1" si="5"/>
        <v>42</v>
      </c>
      <c r="G61" s="13">
        <f t="shared" ca="1" si="5"/>
        <v>40</v>
      </c>
      <c r="H61" s="13">
        <f t="shared" ca="1" si="2"/>
        <v>84</v>
      </c>
      <c r="I61" s="13">
        <f t="shared" ca="1" si="3"/>
        <v>66.8</v>
      </c>
      <c r="J61" s="13" t="str">
        <f t="shared" ca="1" si="4"/>
        <v>D</v>
      </c>
    </row>
    <row r="62" spans="2:10" x14ac:dyDescent="0.25">
      <c r="B62" s="14" t="s">
        <v>57</v>
      </c>
      <c r="C62" s="14" t="str">
        <f t="shared" si="0"/>
        <v>Hopkins, Wayne</v>
      </c>
      <c r="D62" s="13">
        <f t="shared" ca="1" si="5"/>
        <v>44</v>
      </c>
      <c r="E62" s="13">
        <f t="shared" ca="1" si="5"/>
        <v>65</v>
      </c>
      <c r="F62" s="13">
        <f t="shared" ca="1" si="5"/>
        <v>41</v>
      </c>
      <c r="G62" s="13">
        <f t="shared" ca="1" si="5"/>
        <v>72</v>
      </c>
      <c r="H62" s="13">
        <f t="shared" ca="1" si="2"/>
        <v>94</v>
      </c>
      <c r="I62" s="13">
        <f t="shared" ca="1" si="3"/>
        <v>63.2</v>
      </c>
      <c r="J62" s="13" t="str">
        <f t="shared" ca="1" si="4"/>
        <v>D</v>
      </c>
    </row>
    <row r="63" spans="2:10" x14ac:dyDescent="0.25">
      <c r="B63" s="14" t="s">
        <v>58</v>
      </c>
      <c r="C63" s="14" t="str">
        <f t="shared" si="0"/>
        <v>Jones, Megan</v>
      </c>
      <c r="D63" s="13">
        <f t="shared" ca="1" si="5"/>
        <v>54</v>
      </c>
      <c r="E63" s="13">
        <f t="shared" ca="1" si="5"/>
        <v>70</v>
      </c>
      <c r="F63" s="13">
        <f t="shared" ca="1" si="5"/>
        <v>66</v>
      </c>
      <c r="G63" s="13">
        <f t="shared" ca="1" si="5"/>
        <v>88</v>
      </c>
      <c r="H63" s="13">
        <f t="shared" ca="1" si="2"/>
        <v>98</v>
      </c>
      <c r="I63" s="13">
        <f t="shared" ca="1" si="3"/>
        <v>75.2</v>
      </c>
      <c r="J63" s="13" t="str">
        <f t="shared" ca="1" si="4"/>
        <v>C</v>
      </c>
    </row>
    <row r="64" spans="2:10" x14ac:dyDescent="0.25">
      <c r="B64" s="14" t="s">
        <v>59</v>
      </c>
      <c r="C64" s="14" t="str">
        <f t="shared" si="0"/>
        <v>Madley, Laura</v>
      </c>
      <c r="D64" s="13">
        <f t="shared" ca="1" si="5"/>
        <v>52</v>
      </c>
      <c r="E64" s="13">
        <f t="shared" ca="1" si="5"/>
        <v>66</v>
      </c>
      <c r="F64" s="13">
        <f t="shared" ca="1" si="5"/>
        <v>44</v>
      </c>
      <c r="G64" s="13">
        <f t="shared" ca="1" si="5"/>
        <v>84</v>
      </c>
      <c r="H64" s="13">
        <f t="shared" ca="1" si="2"/>
        <v>74</v>
      </c>
      <c r="I64" s="13">
        <f t="shared" ca="1" si="3"/>
        <v>64</v>
      </c>
      <c r="J64" s="13" t="str">
        <f t="shared" ca="1" si="4"/>
        <v>D</v>
      </c>
    </row>
    <row r="65" spans="2:11" x14ac:dyDescent="0.25">
      <c r="B65" s="14" t="s">
        <v>60</v>
      </c>
      <c r="C65" s="14" t="str">
        <f t="shared" si="0"/>
        <v>Whitby, Kevin</v>
      </c>
      <c r="D65" s="13">
        <f t="shared" ca="1" si="5"/>
        <v>53</v>
      </c>
      <c r="E65" s="13">
        <f t="shared" ca="1" si="5"/>
        <v>68</v>
      </c>
      <c r="F65" s="13">
        <f t="shared" ca="1" si="5"/>
        <v>91</v>
      </c>
      <c r="G65" s="13">
        <f t="shared" ca="1" si="5"/>
        <v>56</v>
      </c>
      <c r="H65" s="13">
        <f t="shared" ca="1" si="2"/>
        <v>85</v>
      </c>
      <c r="I65" s="13">
        <f t="shared" ca="1" si="3"/>
        <v>70.599999999999994</v>
      </c>
      <c r="J65" s="13" t="str">
        <f t="shared" ca="1" si="4"/>
        <v>C</v>
      </c>
    </row>
    <row r="66" spans="2:11" x14ac:dyDescent="0.25">
      <c r="B66" s="14" t="s">
        <v>61</v>
      </c>
      <c r="C66" s="14" t="str">
        <f t="shared" si="0"/>
        <v>Zeller, Rose</v>
      </c>
      <c r="D66" s="13">
        <f t="shared" ca="1" si="5"/>
        <v>97</v>
      </c>
      <c r="E66" s="13">
        <f t="shared" ca="1" si="5"/>
        <v>91</v>
      </c>
      <c r="F66" s="13">
        <f t="shared" ca="1" si="5"/>
        <v>58</v>
      </c>
      <c r="G66" s="13">
        <f t="shared" ca="1" si="5"/>
        <v>51</v>
      </c>
      <c r="H66" s="13">
        <f t="shared" ca="1" si="2"/>
        <v>91</v>
      </c>
      <c r="I66" s="13">
        <f t="shared" ca="1" si="3"/>
        <v>77.599999999999994</v>
      </c>
      <c r="J66" s="13" t="str">
        <f t="shared" ca="1" si="4"/>
        <v>C</v>
      </c>
    </row>
    <row r="67" spans="2:11" x14ac:dyDescent="0.25">
      <c r="B67" s="14" t="s">
        <v>62</v>
      </c>
      <c r="C67" s="14" t="str">
        <f t="shared" si="0"/>
        <v>Higgs, Terence</v>
      </c>
      <c r="D67" s="13">
        <f t="shared" ca="1" si="5"/>
        <v>98</v>
      </c>
      <c r="E67" s="13">
        <f t="shared" ca="1" si="5"/>
        <v>60</v>
      </c>
      <c r="F67" s="13">
        <f t="shared" ca="1" si="5"/>
        <v>95</v>
      </c>
      <c r="G67" s="13">
        <f t="shared" ca="1" si="5"/>
        <v>44</v>
      </c>
      <c r="H67" s="13">
        <f t="shared" ca="1" si="2"/>
        <v>77</v>
      </c>
      <c r="I67" s="13">
        <f t="shared" ca="1" si="3"/>
        <v>74.8</v>
      </c>
      <c r="J67" s="13" t="str">
        <f t="shared" ca="1" si="4"/>
        <v>C</v>
      </c>
    </row>
    <row r="68" spans="2:11" x14ac:dyDescent="0.25">
      <c r="B68" s="14" t="s">
        <v>63</v>
      </c>
      <c r="C68" s="14" t="str">
        <f t="shared" si="0"/>
        <v>Pucey, Adrian</v>
      </c>
      <c r="D68" s="13">
        <f t="shared" ca="1" si="5"/>
        <v>99</v>
      </c>
      <c r="E68" s="13">
        <f t="shared" ca="1" si="5"/>
        <v>89</v>
      </c>
      <c r="F68" s="13">
        <f t="shared" ca="1" si="5"/>
        <v>91</v>
      </c>
      <c r="G68" s="13">
        <f t="shared" ca="1" si="5"/>
        <v>47</v>
      </c>
      <c r="H68" s="13">
        <f t="shared" ca="1" si="2"/>
        <v>73</v>
      </c>
      <c r="I68" s="13">
        <f t="shared" ca="1" si="3"/>
        <v>79.8</v>
      </c>
      <c r="J68" s="13" t="str">
        <f t="shared" ca="1" si="4"/>
        <v>C</v>
      </c>
    </row>
    <row r="69" spans="2:11" x14ac:dyDescent="0.25">
      <c r="B69" s="14" t="s">
        <v>64</v>
      </c>
      <c r="C69" s="14" t="str">
        <f t="shared" si="0"/>
        <v>Davis, Tracey</v>
      </c>
      <c r="D69" s="13">
        <f t="shared" ca="1" si="5"/>
        <v>90</v>
      </c>
      <c r="E69" s="13">
        <f t="shared" ca="1" si="5"/>
        <v>89</v>
      </c>
      <c r="F69" s="13">
        <f t="shared" ca="1" si="5"/>
        <v>81</v>
      </c>
      <c r="G69" s="13">
        <f t="shared" ca="1" si="5"/>
        <v>99</v>
      </c>
      <c r="H69" s="13">
        <f t="shared" ca="1" si="2"/>
        <v>85</v>
      </c>
      <c r="I69" s="13">
        <f t="shared" ca="1" si="3"/>
        <v>88.8</v>
      </c>
      <c r="J69" s="13" t="str">
        <f t="shared" ca="1" si="4"/>
        <v>B</v>
      </c>
    </row>
    <row r="70" spans="2:11" x14ac:dyDescent="0.25">
      <c r="B70" s="14" t="s">
        <v>65</v>
      </c>
      <c r="C70" s="14" t="str">
        <f t="shared" si="0"/>
        <v>Greengrass, Daphne</v>
      </c>
      <c r="D70" s="13">
        <f t="shared" ca="1" si="5"/>
        <v>89</v>
      </c>
      <c r="E70" s="13">
        <f t="shared" ca="1" si="5"/>
        <v>55</v>
      </c>
      <c r="F70" s="13">
        <f t="shared" ca="1" si="5"/>
        <v>86</v>
      </c>
      <c r="G70" s="13">
        <f t="shared" ca="1" si="5"/>
        <v>64</v>
      </c>
      <c r="H70" s="13">
        <f t="shared" ca="1" si="2"/>
        <v>87</v>
      </c>
      <c r="I70" s="13">
        <f t="shared" ca="1" si="3"/>
        <v>76.2</v>
      </c>
      <c r="J70" s="13" t="str">
        <f t="shared" ca="1" si="4"/>
        <v>C</v>
      </c>
    </row>
    <row r="71" spans="2:11" x14ac:dyDescent="0.25">
      <c r="B71" s="14" t="s">
        <v>66</v>
      </c>
      <c r="C71" s="14" t="str">
        <f t="shared" ref="C71:C74" si="6">MID(B71 &amp;", " &amp;B71,FIND(" ",B71)+1,LEN(B71)+1)</f>
        <v>Nott, Theodore</v>
      </c>
      <c r="D71" s="13">
        <f t="shared" ca="1" si="5"/>
        <v>85</v>
      </c>
      <c r="E71" s="13">
        <f t="shared" ca="1" si="5"/>
        <v>61</v>
      </c>
      <c r="F71" s="13">
        <f t="shared" ca="1" si="5"/>
        <v>49</v>
      </c>
      <c r="G71" s="13">
        <f t="shared" ca="1" si="5"/>
        <v>60</v>
      </c>
      <c r="H71" s="13">
        <f t="shared" ref="H71:H74" ca="1" si="7">RANDBETWEEN(70,100)</f>
        <v>71</v>
      </c>
      <c r="I71" s="13">
        <f t="shared" ref="I71:I74" ca="1" si="8">AVERAGE(D71:H71)</f>
        <v>65.2</v>
      </c>
      <c r="J71" s="13" t="str">
        <f t="shared" ref="J71:J74" ca="1" si="9">VLOOKUP(I71,$I$80:$J$84,2,TRUE)</f>
        <v>D</v>
      </c>
    </row>
    <row r="72" spans="2:11" x14ac:dyDescent="0.25">
      <c r="B72" s="14" t="s">
        <v>67</v>
      </c>
      <c r="C72" s="14" t="str">
        <f t="shared" si="6"/>
        <v>Greengrass, Astoria</v>
      </c>
      <c r="D72" s="13">
        <f t="shared" ca="1" si="5"/>
        <v>49</v>
      </c>
      <c r="E72" s="13">
        <f t="shared" ca="1" si="5"/>
        <v>95</v>
      </c>
      <c r="F72" s="13">
        <f t="shared" ca="1" si="5"/>
        <v>65</v>
      </c>
      <c r="G72" s="13">
        <f t="shared" ca="1" si="5"/>
        <v>80</v>
      </c>
      <c r="H72" s="13">
        <f t="shared" ca="1" si="7"/>
        <v>76</v>
      </c>
      <c r="I72" s="13">
        <f t="shared" ca="1" si="8"/>
        <v>73</v>
      </c>
      <c r="J72" s="13" t="str">
        <f t="shared" ca="1" si="9"/>
        <v>C</v>
      </c>
    </row>
    <row r="73" spans="2:11" x14ac:dyDescent="0.25">
      <c r="B73" s="14" t="s">
        <v>68</v>
      </c>
      <c r="C73" s="14" t="str">
        <f t="shared" si="6"/>
        <v>Baddock, Malcolm</v>
      </c>
      <c r="D73" s="13">
        <f t="shared" ca="1" si="5"/>
        <v>61</v>
      </c>
      <c r="E73" s="13">
        <f t="shared" ca="1" si="5"/>
        <v>77</v>
      </c>
      <c r="F73" s="13">
        <f t="shared" ca="1" si="5"/>
        <v>40</v>
      </c>
      <c r="G73" s="13">
        <f t="shared" ca="1" si="5"/>
        <v>93</v>
      </c>
      <c r="H73" s="13">
        <f t="shared" ca="1" si="7"/>
        <v>93</v>
      </c>
      <c r="I73" s="13">
        <f t="shared" ca="1" si="8"/>
        <v>72.8</v>
      </c>
      <c r="J73" s="13" t="str">
        <f t="shared" ca="1" si="9"/>
        <v>C</v>
      </c>
    </row>
    <row r="74" spans="2:11" x14ac:dyDescent="0.25">
      <c r="B74" s="14" t="s">
        <v>69</v>
      </c>
      <c r="C74" s="14" t="str">
        <f t="shared" si="6"/>
        <v>Pritchard, Graham</v>
      </c>
      <c r="D74" s="13">
        <f t="shared" ca="1" si="5"/>
        <v>89</v>
      </c>
      <c r="E74" s="13">
        <f t="shared" ca="1" si="5"/>
        <v>61</v>
      </c>
      <c r="F74" s="13">
        <f t="shared" ca="1" si="5"/>
        <v>76</v>
      </c>
      <c r="G74" s="13">
        <f t="shared" ca="1" si="5"/>
        <v>40</v>
      </c>
      <c r="H74" s="13">
        <f t="shared" ca="1" si="7"/>
        <v>74</v>
      </c>
      <c r="I74" s="13">
        <f t="shared" ca="1" si="8"/>
        <v>68</v>
      </c>
      <c r="J74" s="13" t="str">
        <f t="shared" ca="1" si="9"/>
        <v>D</v>
      </c>
    </row>
    <row r="79" spans="2:11" x14ac:dyDescent="0.25">
      <c r="F79" s="15" t="s">
        <v>80</v>
      </c>
      <c r="G79" s="15"/>
      <c r="H79" s="4">
        <v>3</v>
      </c>
      <c r="I79" s="5" t="s">
        <v>81</v>
      </c>
      <c r="J79" s="5" t="s">
        <v>82</v>
      </c>
      <c r="K79" s="2"/>
    </row>
    <row r="80" spans="2:11" x14ac:dyDescent="0.25">
      <c r="F80" s="3"/>
      <c r="G80" s="3"/>
      <c r="H80" s="3"/>
      <c r="I80" s="1">
        <v>0</v>
      </c>
      <c r="J80" s="1" t="s">
        <v>87</v>
      </c>
      <c r="K80" s="1"/>
    </row>
    <row r="81" spans="6:11" x14ac:dyDescent="0.25">
      <c r="F81" s="3"/>
      <c r="G81" s="3"/>
      <c r="H81" s="3"/>
      <c r="I81" s="1">
        <v>60</v>
      </c>
      <c r="J81" s="1" t="s">
        <v>86</v>
      </c>
      <c r="K81" s="1"/>
    </row>
    <row r="82" spans="6:11" x14ac:dyDescent="0.25">
      <c r="F82" s="3"/>
      <c r="G82" s="3"/>
      <c r="H82" s="3"/>
      <c r="I82" s="1">
        <v>70</v>
      </c>
      <c r="J82" s="1" t="s">
        <v>85</v>
      </c>
      <c r="K82" s="1"/>
    </row>
    <row r="83" spans="6:11" x14ac:dyDescent="0.25">
      <c r="F83" s="3"/>
      <c r="G83" s="3"/>
      <c r="H83" s="3"/>
      <c r="I83" s="1">
        <v>80</v>
      </c>
      <c r="J83" s="1" t="s">
        <v>84</v>
      </c>
      <c r="K83" s="1"/>
    </row>
    <row r="84" spans="6:11" x14ac:dyDescent="0.25">
      <c r="F84" s="3"/>
      <c r="G84" s="3"/>
      <c r="H84" s="3"/>
      <c r="I84" s="1">
        <v>90</v>
      </c>
      <c r="J84" s="1" t="s">
        <v>83</v>
      </c>
      <c r="K84" s="1"/>
    </row>
  </sheetData>
  <mergeCells count="1">
    <mergeCell ref="F79:G79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ntName">
                <anchor moveWithCells="1" sizeWithCells="1">
                  <from>
                    <xdr:col>11</xdr:col>
                    <xdr:colOff>571500</xdr:colOff>
                    <xdr:row>4</xdr:row>
                    <xdr:rowOff>152400</xdr:rowOff>
                  </from>
                  <to>
                    <xdr:col>13</xdr:col>
                    <xdr:colOff>457200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intTopName">
                <anchor moveWithCells="1" sizeWithCells="1">
                  <from>
                    <xdr:col>14</xdr:col>
                    <xdr:colOff>561975</xdr:colOff>
                    <xdr:row>4</xdr:row>
                    <xdr:rowOff>171450</xdr:rowOff>
                  </from>
                  <to>
                    <xdr:col>17</xdr:col>
                    <xdr:colOff>390525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calAndClr">
                <anchor moveWithCells="1" sizeWithCells="1">
                  <from>
                    <xdr:col>17</xdr:col>
                    <xdr:colOff>590550</xdr:colOff>
                    <xdr:row>4</xdr:row>
                    <xdr:rowOff>133350</xdr:rowOff>
                  </from>
                  <to>
                    <xdr:col>20</xdr:col>
                    <xdr:colOff>381000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Grizli777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2018-02-13T22:28:00Z</dcterms:created>
  <dcterms:modified xsi:type="dcterms:W3CDTF">2018-02-14T22:01:05Z</dcterms:modified>
</cp:coreProperties>
</file>