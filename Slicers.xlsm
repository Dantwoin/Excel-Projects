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slicers/slicer1.xml" ContentType="application/vnd.ms-excel.slicer+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pivotTables/pivotTable1.xml" ContentType="application/vnd.openxmlformats-officedocument.spreadsheetml.pivotTable+xml"/>
  <Override PartName="/xl/drawings/drawing2.xml" ContentType="application/vnd.openxmlformats-officedocument.drawing+xml"/>
  <Override PartName="/xl/charts/chart4.xml" ContentType="application/vnd.openxmlformats-officedocument.drawingml.chart+xml"/>
  <Override PartName="/xl/pivotTables/pivotTable2.xml" ContentType="application/vnd.openxmlformats-officedocument.spreadsheetml.pivotTable+xml"/>
  <Override PartName="/xl/drawings/drawing3.xml" ContentType="application/vnd.openxmlformats-officedocument.drawing+xml"/>
  <Override PartName="/xl/charts/chart5.xml" ContentType="application/vnd.openxmlformats-officedocument.drawingml.chart+xml"/>
  <Override PartName="/xl/pivotTables/pivotTable3.xml" ContentType="application/vnd.openxmlformats-officedocument.spreadsheetml.pivotTable+xml"/>
  <Override PartName="/xl/drawings/drawing4.xml" ContentType="application/vnd.openxmlformats-officedocument.drawing+xml"/>
  <Override PartName="/xl/charts/chart6.xml" ContentType="application/vnd.openxmlformats-officedocument.drawingml.chart+xml"/>
  <Override PartName="/xl/tables/table1.xml" ContentType="application/vnd.openxmlformats-officedocument.spreadsheetml.table+xml"/>
  <Override PartName="/xl/queryTables/queryTable1.xml" ContentType="application/vnd.openxmlformats-officedocument.spreadsheetml.queryTable+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showPivotChartFilter="1" defaultThemeVersion="124226"/>
  <bookViews>
    <workbookView xWindow="120" yWindow="75" windowWidth="20115" windowHeight="9540"/>
  </bookViews>
  <sheets>
    <sheet name="Dashboard" sheetId="6" r:id="rId1"/>
    <sheet name="Sheet1" sheetId="1" r:id="rId2"/>
    <sheet name="Sheet7" sheetId="7" r:id="rId3"/>
    <sheet name="Sheet8" sheetId="8" r:id="rId4"/>
    <sheet name="Sheet5" sheetId="5" r:id="rId5"/>
  </sheets>
  <definedNames>
    <definedName name="Northwind_2007.accdb" localSheetId="4" hidden="1">Sheet5!$A$1:$S$50</definedName>
    <definedName name="Slicer_Employee">#N/A</definedName>
    <definedName name="Slicer_State_Province">#N/A</definedName>
  </definedNames>
  <calcPr calcId="125725"/>
  <pivotCaches>
    <pivotCache cacheId="0" r:id="rId6"/>
  </pivotCaches>
  <extLst>
    <ext xmlns:x14="http://schemas.microsoft.com/office/spreadsheetml/2009/9/main" uri="{BBE1A952-AA13-448e-AADC-164F8A28A991}">
      <x14:slicerCaches>
        <x14:slicerCache r:id="rId7"/>
        <x14:slicerCache r:id="rId8"/>
      </x14:slicerCaches>
    </ext>
    <ext xmlns:x14="http://schemas.microsoft.com/office/spreadsheetml/2009/9/main" uri="{79F54976-1DA5-4618-B147-4CDE4B953A38}">
      <x14:workbookPr/>
    </ext>
  </extLst>
</workbook>
</file>

<file path=xl/connections.xml><?xml version="1.0" encoding="utf-8"?>
<connections xmlns="http://schemas.openxmlformats.org/spreadsheetml/2006/main">
  <connection id="1" sourceFile="C:\Users\User\Documents\Northwind 2007.accdb" keepAlive="1" name="Northwind 2007" type="5" refreshedVersion="3">
    <dbPr connection="Provider=Microsoft.ACE.OLEDB.12.0;User ID=Admin;Data Source=C:\Users\User\Documents\Northwind 2007.accdb;Mode=ReadWrite;Extended Properties=&quot;&quot;;Jet OLEDB:System database=&quot;&quot;;Jet OLEDB:Registry Path=&quot;&quot;;Jet OLEDB:Engine Type=6;Jet OLEDB:Database Locking Mode=1;Jet OLEDB:Global Partial Bulk Ops=2;Jet OLEDB:Global Bulk Transactions=1;Jet OLEDB:New Database Password=&quot;&quot;;Jet OLEDB:Create System Database=False;Jet OLEDB:Encrypt Database=False;Jet OLEDB:Don't Copy Locale on Compact=False;Jet OLEDB:Compact Without Replica Repair=False;Jet OLEDB:SFP=False;Jet OLEDB:Support Complex Data=False" command="Product Sales Qty by Employee and Date" commandType="3"/>
  </connection>
  <connection id="2" sourceFile="C:\Users\User\Documents\Northwind 2007.accdb" keepAlive="1" name="Northwind 20071" type="5" refreshedVersion="3" background="1" saveData="1">
    <dbPr connection="Provider=Microsoft.ACE.OLEDB.12.0;User ID=Admin;Data Source=C:\Users\User\Documents\Northwind 2007.accdb;Mode=ReadWrite;Extended Properties=&quot;&quot;;Jet OLEDB:System database=&quot;&quot;;Jet OLEDB:Registry Path=&quot;&quot;;Jet OLEDB:Engine Type=6;Jet OLEDB:Database Locking Mode=1;Jet OLEDB:Global Partial Bulk Ops=2;Jet OLEDB:Global Bulk Transactions=1;Jet OLEDB:New Database Password=&quot;&quot;;Jet OLEDB:Create System Database=False;Jet OLEDB:Encrypt Database=False;Jet OLEDB:Don't Copy Locale on Compact=False;Jet OLEDB:Compact Without Replica Repair=False;Jet OLEDB:SFP=False;Jet OLEDB:Support Complex Data=False" command="Sales Analysis" commandType="3"/>
  </connection>
</connections>
</file>

<file path=xl/sharedStrings.xml><?xml version="1.0" encoding="utf-8"?>
<sst xmlns="http://schemas.openxmlformats.org/spreadsheetml/2006/main" count="519" uniqueCount="102">
  <si>
    <t>Row Labels</t>
  </si>
  <si>
    <t>Grand Total</t>
  </si>
  <si>
    <t>Anne Hellung-Larsen</t>
  </si>
  <si>
    <t>Jan Kotas</t>
  </si>
  <si>
    <t>Mariya Sergienko</t>
  </si>
  <si>
    <t>Michael Neipper</t>
  </si>
  <si>
    <t>Laura Giussani</t>
  </si>
  <si>
    <t>Nancy Freehafer</t>
  </si>
  <si>
    <t>Andrew Cencini</t>
  </si>
  <si>
    <t>Robert Zare</t>
  </si>
  <si>
    <t>Column Labels</t>
  </si>
  <si>
    <t>Order Date</t>
  </si>
  <si>
    <t>(All)</t>
  </si>
  <si>
    <t>USA</t>
  </si>
  <si>
    <t>Company A</t>
  </si>
  <si>
    <t>Company AA</t>
  </si>
  <si>
    <t>Company BB</t>
  </si>
  <si>
    <t>Company C</t>
  </si>
  <si>
    <t>Company CC</t>
  </si>
  <si>
    <t>Company D</t>
  </si>
  <si>
    <t>Company F</t>
  </si>
  <si>
    <t>Company H</t>
  </si>
  <si>
    <t>Company I</t>
  </si>
  <si>
    <t>Company J</t>
  </si>
  <si>
    <t>Company K</t>
  </si>
  <si>
    <t>Company L</t>
  </si>
  <si>
    <t>Company Y</t>
  </si>
  <si>
    <t>Company Z</t>
  </si>
  <si>
    <t>Product ID</t>
  </si>
  <si>
    <t>Order ID</t>
  </si>
  <si>
    <t>Customer ID</t>
  </si>
  <si>
    <t>Product Name</t>
  </si>
  <si>
    <t>Category</t>
  </si>
  <si>
    <t>Northwind Traders Beer</t>
  </si>
  <si>
    <t>Beverages</t>
  </si>
  <si>
    <t>Northwind Traders Dried Plums</t>
  </si>
  <si>
    <t>Dried Fruit &amp; Nuts</t>
  </si>
  <si>
    <t>Northwind Traders Dried Apples</t>
  </si>
  <si>
    <t>Northwind Traders Dried Pears</t>
  </si>
  <si>
    <t>Northwind Traders Chai</t>
  </si>
  <si>
    <t>Northwind Traders Coffee</t>
  </si>
  <si>
    <t>Northwind Traders Chocolate Biscuits Mix</t>
  </si>
  <si>
    <t>Baked Goods &amp; Mixes</t>
  </si>
  <si>
    <t>Northwind Traders Chocolate</t>
  </si>
  <si>
    <t>Candy</t>
  </si>
  <si>
    <t>Northwind Traders Clam Chowder</t>
  </si>
  <si>
    <t>Soups</t>
  </si>
  <si>
    <t>Northwind Traders Curry Sauce</t>
  </si>
  <si>
    <t>Sauces</t>
  </si>
  <si>
    <t>Northwind Traders Boysenberry Spread</t>
  </si>
  <si>
    <t>Jams, Preserves</t>
  </si>
  <si>
    <t>Northwind Traders Cajun Seasoning</t>
  </si>
  <si>
    <t>Condiments</t>
  </si>
  <si>
    <t>Northwind Traders Green Tea</t>
  </si>
  <si>
    <t>Northwind Traders Crab Meat</t>
  </si>
  <si>
    <t>Canned Meat</t>
  </si>
  <si>
    <t>Northwind Traders Mozzarella</t>
  </si>
  <si>
    <t>Dairy Products</t>
  </si>
  <si>
    <t>Northwind Traders Olive Oil</t>
  </si>
  <si>
    <t>Oil</t>
  </si>
  <si>
    <t>Northwind Traders Ravioli</t>
  </si>
  <si>
    <t>Pasta</t>
  </si>
  <si>
    <t>Northwind Traders Scones</t>
  </si>
  <si>
    <t>Northwind Traders Long Grain Rice</t>
  </si>
  <si>
    <t>Grains</t>
  </si>
  <si>
    <t>Northwind Traders Marmalade</t>
  </si>
  <si>
    <t>Northwind Traders Syrup</t>
  </si>
  <si>
    <t>Northwind Traders Almonds</t>
  </si>
  <si>
    <t>Northwind Traders Fruit Cocktail</t>
  </si>
  <si>
    <t>Canned Fruit &amp; Vegetables</t>
  </si>
  <si>
    <t>Employee</t>
  </si>
  <si>
    <t>Customer Name</t>
  </si>
  <si>
    <t>Sales</t>
  </si>
  <si>
    <t>State/Province</t>
  </si>
  <si>
    <t>Country/Region</t>
  </si>
  <si>
    <t>Employee ID</t>
  </si>
  <si>
    <t>Year</t>
  </si>
  <si>
    <t>Month</t>
  </si>
  <si>
    <t>Quarter</t>
  </si>
  <si>
    <t>Month Name</t>
  </si>
  <si>
    <t>Product</t>
  </si>
  <si>
    <t>Customer</t>
  </si>
  <si>
    <t>MonthOfQuarter</t>
  </si>
  <si>
    <t>NV</t>
  </si>
  <si>
    <t>January</t>
  </si>
  <si>
    <t>NY</t>
  </si>
  <si>
    <t>OR</t>
  </si>
  <si>
    <t>February</t>
  </si>
  <si>
    <t>CO</t>
  </si>
  <si>
    <t>CA</t>
  </si>
  <si>
    <t>WI</t>
  </si>
  <si>
    <t>March</t>
  </si>
  <si>
    <t>TN</t>
  </si>
  <si>
    <t>IL</t>
  </si>
  <si>
    <t>April</t>
  </si>
  <si>
    <t>UT</t>
  </si>
  <si>
    <t>FL</t>
  </si>
  <si>
    <t>June</t>
  </si>
  <si>
    <t>WA</t>
  </si>
  <si>
    <t>May</t>
  </si>
  <si>
    <t>Sum of Sales</t>
  </si>
  <si>
    <t xml:space="preserve">Employee Sales </t>
  </si>
</sst>
</file>

<file path=xl/styles.xml><?xml version="1.0" encoding="utf-8"?>
<styleSheet xmlns="http://schemas.openxmlformats.org/spreadsheetml/2006/main" xmlns:mc="http://schemas.openxmlformats.org/markup-compatibility/2006" xmlns:x14ac="http://schemas.microsoft.com/office/spreadsheetml/2009/9/ac" mc:Ignorable="x14ac">
  <fonts count="4" x14ac:knownFonts="1">
    <font>
      <sz val="11"/>
      <color theme="1"/>
      <name val="Calibri"/>
      <family val="2"/>
      <scheme val="minor"/>
    </font>
    <font>
      <sz val="18"/>
      <color theme="1"/>
      <name val="Calibri"/>
      <family val="2"/>
      <scheme val="minor"/>
    </font>
    <font>
      <sz val="8"/>
      <name val="Tahoma"/>
      <family val="2"/>
    </font>
    <font>
      <sz val="14"/>
      <color rgb="FF000000"/>
      <name val="Calibri"/>
      <family val="2"/>
      <scheme val="minor"/>
    </font>
  </fonts>
  <fills count="2">
    <fill>
      <patternFill patternType="none"/>
    </fill>
    <fill>
      <patternFill patternType="gray125"/>
    </fill>
  </fills>
  <borders count="1">
    <border>
      <left/>
      <right/>
      <top/>
      <bottom/>
      <diagonal/>
    </border>
  </borders>
  <cellStyleXfs count="1">
    <xf numFmtId="0" fontId="0" fillId="0" borderId="0"/>
  </cellStyleXfs>
  <cellXfs count="6">
    <xf numFmtId="0" fontId="0" fillId="0" borderId="0" xfId="0"/>
    <xf numFmtId="0" fontId="0" fillId="0" borderId="0" xfId="0" pivotButton="1"/>
    <xf numFmtId="0" fontId="0" fillId="0" borderId="0" xfId="0" applyAlignment="1">
      <alignment horizontal="left"/>
    </xf>
    <xf numFmtId="14" fontId="0" fillId="0" borderId="0" xfId="0" applyNumberFormat="1"/>
    <xf numFmtId="0" fontId="0" fillId="0" borderId="0" xfId="0" applyNumberFormat="1"/>
    <xf numFmtId="0" fontId="1" fillId="0" borderId="0" xfId="0" applyFont="1"/>
  </cellXfs>
  <cellStyles count="1">
    <cellStyle name="Normal" xfId="0" builtinId="0"/>
  </cellStyles>
  <dxfs count="1">
    <dxf>
      <numFmt numFmtId="19" formatCode="m/d/yyyy"/>
    </dxf>
  </dxfs>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2.xml"/><Relationship Id="rId13" Type="http://schemas.microsoft.com/office/2006/relationships/vbaProject" Target="vbaProject.bin"/><Relationship Id="rId3" Type="http://schemas.openxmlformats.org/officeDocument/2006/relationships/worksheet" Target="worksheets/sheet3.xml"/><Relationship Id="rId7" Type="http://schemas.microsoft.com/office/2007/relationships/slicerCache" Target="slicerCaches/slicerCache1.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pivotCacheDefinition" Target="pivotCache/pivotCacheDefinition1.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theme" Target="theme/them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[Slicers.xlsm]Sheet1!PivotTable10</c:name>
    <c:fmtId val="2"/>
  </c:pivotSource>
  <c:chart>
    <c:title>
      <c:tx>
        <c:rich>
          <a:bodyPr/>
          <a:lstStyle/>
          <a:p>
            <a:pPr>
              <a:defRPr/>
            </a:pPr>
            <a:r>
              <a:rPr lang="en-US"/>
              <a:t>Total Sales by Product</a:t>
            </a:r>
          </a:p>
        </c:rich>
      </c:tx>
      <c:layout/>
      <c:overlay val="0"/>
    </c:title>
    <c:autoTitleDeleted val="0"/>
    <c:pivotFmts>
      <c:pivotFmt>
        <c:idx val="0"/>
        <c:marker>
          <c:symbol val="none"/>
        </c:marker>
      </c:pivotFmt>
      <c:pivotFmt>
        <c:idx val="1"/>
        <c:marker>
          <c:symbol val="none"/>
        </c:marker>
      </c:pivotFmt>
      <c:pivotFmt>
        <c:idx val="2"/>
        <c:marker>
          <c:symbol val="none"/>
        </c:marker>
      </c:pivotFmt>
    </c:pivotFmts>
    <c:plotArea>
      <c:layout/>
      <c:barChart>
        <c:barDir val="col"/>
        <c:grouping val="clustered"/>
        <c:varyColors val="0"/>
        <c:ser>
          <c:idx val="0"/>
          <c:order val="0"/>
          <c:tx>
            <c:strRef>
              <c:f>Sheet1!$B$4</c:f>
              <c:strCache>
                <c:ptCount val="1"/>
                <c:pt idx="0">
                  <c:v>Total</c:v>
                </c:pt>
              </c:strCache>
            </c:strRef>
          </c:tx>
          <c:invertIfNegative val="0"/>
          <c:cat>
            <c:strRef>
              <c:f>Sheet1!$A$5:$A$19</c:f>
              <c:strCache>
                <c:ptCount val="14"/>
                <c:pt idx="0">
                  <c:v>Baked Goods &amp; Mixes</c:v>
                </c:pt>
                <c:pt idx="1">
                  <c:v>Beverages</c:v>
                </c:pt>
                <c:pt idx="2">
                  <c:v>Candy</c:v>
                </c:pt>
                <c:pt idx="3">
                  <c:v>Canned Fruit &amp; Vegetables</c:v>
                </c:pt>
                <c:pt idx="4">
                  <c:v>Canned Meat</c:v>
                </c:pt>
                <c:pt idx="5">
                  <c:v>Condiments</c:v>
                </c:pt>
                <c:pt idx="6">
                  <c:v>Dairy Products</c:v>
                </c:pt>
                <c:pt idx="7">
                  <c:v>Dried Fruit &amp; Nuts</c:v>
                </c:pt>
                <c:pt idx="8">
                  <c:v>Grains</c:v>
                </c:pt>
                <c:pt idx="9">
                  <c:v>Jams, Preserves</c:v>
                </c:pt>
                <c:pt idx="10">
                  <c:v>Oil</c:v>
                </c:pt>
                <c:pt idx="11">
                  <c:v>Pasta</c:v>
                </c:pt>
                <c:pt idx="12">
                  <c:v>Sauces</c:v>
                </c:pt>
                <c:pt idx="13">
                  <c:v>Soups</c:v>
                </c:pt>
              </c:strCache>
            </c:strRef>
          </c:cat>
          <c:val>
            <c:numRef>
              <c:f>Sheet1!$B$5:$B$19</c:f>
              <c:numCache>
                <c:formatCode>General</c:formatCode>
                <c:ptCount val="14"/>
                <c:pt idx="0">
                  <c:v>982</c:v>
                </c:pt>
                <c:pt idx="1">
                  <c:v>22636</c:v>
                </c:pt>
                <c:pt idx="2">
                  <c:v>2550</c:v>
                </c:pt>
                <c:pt idx="3">
                  <c:v>1560</c:v>
                </c:pt>
                <c:pt idx="4">
                  <c:v>2208</c:v>
                </c:pt>
                <c:pt idx="5">
                  <c:v>1380</c:v>
                </c:pt>
                <c:pt idx="6">
                  <c:v>3132</c:v>
                </c:pt>
                <c:pt idx="7">
                  <c:v>3712.5</c:v>
                </c:pt>
                <c:pt idx="8">
                  <c:v>280</c:v>
                </c:pt>
                <c:pt idx="9">
                  <c:v>5740</c:v>
                </c:pt>
                <c:pt idx="10">
                  <c:v>533.75</c:v>
                </c:pt>
                <c:pt idx="11">
                  <c:v>1950</c:v>
                </c:pt>
                <c:pt idx="12">
                  <c:v>2600</c:v>
                </c:pt>
                <c:pt idx="13">
                  <c:v>2798.5</c:v>
                </c:pt>
              </c:numCache>
            </c:numRef>
          </c:val>
        </c:ser>
        <c:dLbls>
          <c:showLegendKey val="0"/>
          <c:showVal val="0"/>
          <c:showCatName val="0"/>
          <c:showSerName val="0"/>
          <c:showPercent val="0"/>
          <c:showBubbleSize val="0"/>
        </c:dLbls>
        <c:gapWidth val="150"/>
        <c:axId val="248699136"/>
        <c:axId val="254418944"/>
      </c:barChart>
      <c:dateAx>
        <c:axId val="248699136"/>
        <c:scaling>
          <c:orientation val="minMax"/>
        </c:scaling>
        <c:delete val="0"/>
        <c:axPos val="b"/>
        <c:majorTickMark val="out"/>
        <c:minorTickMark val="none"/>
        <c:tickLblPos val="nextTo"/>
        <c:crossAx val="254418944"/>
        <c:crosses val="autoZero"/>
        <c:auto val="0"/>
        <c:lblOffset val="100"/>
        <c:baseTimeUnit val="days"/>
      </c:dateAx>
      <c:valAx>
        <c:axId val="254418944"/>
        <c:scaling>
          <c:orientation val="minMax"/>
        </c:scaling>
        <c:delete val="0"/>
        <c:axPos val="l"/>
        <c:majorGridlines/>
        <c:numFmt formatCode="General" sourceLinked="1"/>
        <c:majorTickMark val="out"/>
        <c:minorTickMark val="none"/>
        <c:tickLblPos val="nextTo"/>
        <c:crossAx val="248699136"/>
        <c:crosses val="autoZero"/>
        <c:crossBetween val="between"/>
      </c:valAx>
    </c:plotArea>
    <c:legend>
      <c:legendPos val="r"/>
      <c:layout/>
      <c:overlay val="0"/>
    </c:legend>
    <c:plotVisOnly val="1"/>
    <c:dispBlanksAs val="gap"/>
    <c:showDLblsOverMax val="0"/>
  </c:chart>
  <c:printSettings>
    <c:headerFooter/>
    <c:pageMargins b="0.75000000000000033" l="0.70000000000000029" r="0.70000000000000029" t="0.75000000000000033" header="0.30000000000000016" footer="0.30000000000000016"/>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[Slicers.xlsm]Sheet8!PivotTable12</c:name>
    <c:fmtId val="5"/>
  </c:pivotSource>
  <c:chart>
    <c:autoTitleDeleted val="0"/>
    <c:pivotFmts>
      <c:pivotFmt>
        <c:idx val="0"/>
        <c:marker>
          <c:symbol val="none"/>
        </c:marker>
      </c:pivotFmt>
      <c:pivotFmt>
        <c:idx val="1"/>
        <c:marker>
          <c:symbol val="none"/>
        </c:marker>
      </c:pivotFmt>
      <c:pivotFmt>
        <c:idx val="2"/>
        <c:marker>
          <c:symbol val="none"/>
        </c:marker>
      </c:pivotFmt>
      <c:pivotFmt>
        <c:idx val="3"/>
        <c:marker>
          <c:symbol val="none"/>
        </c:marker>
      </c:pivotFmt>
      <c:pivotFmt>
        <c:idx val="4"/>
        <c:marker>
          <c:symbol val="none"/>
        </c:marker>
      </c:pivotFmt>
      <c:pivotFmt>
        <c:idx val="5"/>
        <c:marker>
          <c:symbol val="none"/>
        </c:marker>
      </c:pivotFmt>
      <c:pivotFmt>
        <c:idx val="6"/>
        <c:marker>
          <c:symbol val="none"/>
        </c:marker>
      </c:pivotFmt>
      <c:pivotFmt>
        <c:idx val="7"/>
        <c:marker>
          <c:symbol val="none"/>
        </c:marker>
      </c:pivotFmt>
      <c:pivotFmt>
        <c:idx val="8"/>
        <c:marker>
          <c:symbol val="none"/>
        </c:marker>
      </c:pivotFmt>
      <c:pivotFmt>
        <c:idx val="9"/>
        <c:marker>
          <c:symbol val="none"/>
        </c:marker>
      </c:pivotFmt>
      <c:pivotFmt>
        <c:idx val="10"/>
        <c:marker>
          <c:symbol val="none"/>
        </c:marker>
      </c:pivotFmt>
      <c:pivotFmt>
        <c:idx val="11"/>
        <c:marker>
          <c:symbol val="none"/>
        </c:marker>
      </c:pivotFmt>
      <c:pivotFmt>
        <c:idx val="12"/>
        <c:marker>
          <c:symbol val="none"/>
        </c:marker>
      </c:pivotFmt>
      <c:pivotFmt>
        <c:idx val="13"/>
        <c:marker>
          <c:symbol val="none"/>
        </c:marker>
      </c:pivotFmt>
      <c:pivotFmt>
        <c:idx val="14"/>
        <c:marker>
          <c:symbol val="none"/>
        </c:marker>
      </c:pivotFmt>
      <c:pivotFmt>
        <c:idx val="15"/>
        <c:marker>
          <c:symbol val="none"/>
        </c:marker>
      </c:pivotFmt>
      <c:pivotFmt>
        <c:idx val="16"/>
        <c:marker>
          <c:symbol val="none"/>
        </c:marker>
      </c:pivotFmt>
      <c:pivotFmt>
        <c:idx val="17"/>
        <c:marker>
          <c:symbol val="none"/>
        </c:marker>
      </c:pivotFmt>
      <c:pivotFmt>
        <c:idx val="18"/>
        <c:marker>
          <c:symbol val="none"/>
        </c:marker>
      </c:pivotFmt>
      <c:pivotFmt>
        <c:idx val="19"/>
        <c:marker>
          <c:symbol val="none"/>
        </c:marker>
      </c:pivotFmt>
      <c:pivotFmt>
        <c:idx val="20"/>
        <c:marker>
          <c:symbol val="none"/>
        </c:marker>
      </c:pivotFmt>
      <c:pivotFmt>
        <c:idx val="21"/>
        <c:marker>
          <c:symbol val="none"/>
        </c:marker>
      </c:pivotFmt>
      <c:pivotFmt>
        <c:idx val="22"/>
        <c:marker>
          <c:symbol val="none"/>
        </c:marker>
      </c:pivotFmt>
      <c:pivotFmt>
        <c:idx val="23"/>
        <c:marker>
          <c:symbol val="none"/>
        </c:marker>
      </c:pivotFmt>
      <c:pivotFmt>
        <c:idx val="24"/>
        <c:marker>
          <c:symbol val="none"/>
        </c:marker>
      </c:pivotFmt>
      <c:pivotFmt>
        <c:idx val="25"/>
        <c:marker>
          <c:symbol val="none"/>
        </c:marker>
      </c:pivotFmt>
      <c:pivotFmt>
        <c:idx val="26"/>
        <c:marker>
          <c:symbol val="none"/>
        </c:marker>
      </c:pivotFmt>
      <c:pivotFmt>
        <c:idx val="27"/>
        <c:marker>
          <c:symbol val="none"/>
        </c:marker>
      </c:pivotFmt>
      <c:pivotFmt>
        <c:idx val="28"/>
        <c:marker>
          <c:symbol val="none"/>
        </c:marker>
      </c:pivotFmt>
      <c:pivotFmt>
        <c:idx val="29"/>
        <c:marker>
          <c:symbol val="none"/>
        </c:marker>
      </c:pivotFmt>
      <c:pivotFmt>
        <c:idx val="30"/>
        <c:marker>
          <c:symbol val="none"/>
        </c:marker>
      </c:pivotFmt>
      <c:pivotFmt>
        <c:idx val="31"/>
        <c:marker>
          <c:symbol val="none"/>
        </c:marker>
      </c:pivotFmt>
      <c:pivotFmt>
        <c:idx val="32"/>
        <c:marker>
          <c:symbol val="none"/>
        </c:marker>
      </c:pivotFmt>
      <c:pivotFmt>
        <c:idx val="33"/>
        <c:marker>
          <c:symbol val="none"/>
        </c:marker>
      </c:pivotFmt>
    </c:pivotFmts>
    <c:plotArea>
      <c:layout/>
      <c:barChart>
        <c:barDir val="col"/>
        <c:grouping val="stacked"/>
        <c:varyColors val="0"/>
        <c:ser>
          <c:idx val="0"/>
          <c:order val="0"/>
          <c:tx>
            <c:strRef>
              <c:f>Sheet8!$B$3:$B$4</c:f>
              <c:strCache>
                <c:ptCount val="1"/>
                <c:pt idx="0">
                  <c:v>CA</c:v>
                </c:pt>
              </c:strCache>
            </c:strRef>
          </c:tx>
          <c:invertIfNegative val="0"/>
          <c:cat>
            <c:strRef>
              <c:f>Sheet8!$A$5:$A$13</c:f>
              <c:strCache>
                <c:ptCount val="8"/>
                <c:pt idx="0">
                  <c:v>Andrew Cencini</c:v>
                </c:pt>
                <c:pt idx="1">
                  <c:v>Anne Hellung-Larsen</c:v>
                </c:pt>
                <c:pt idx="2">
                  <c:v>Jan Kotas</c:v>
                </c:pt>
                <c:pt idx="3">
                  <c:v>Laura Giussani</c:v>
                </c:pt>
                <c:pt idx="4">
                  <c:v>Mariya Sergienko</c:v>
                </c:pt>
                <c:pt idx="5">
                  <c:v>Michael Neipper</c:v>
                </c:pt>
                <c:pt idx="6">
                  <c:v>Nancy Freehafer</c:v>
                </c:pt>
                <c:pt idx="7">
                  <c:v>Robert Zare</c:v>
                </c:pt>
              </c:strCache>
            </c:strRef>
          </c:cat>
          <c:val>
            <c:numRef>
              <c:f>Sheet8!$B$5:$B$13</c:f>
              <c:numCache>
                <c:formatCode>General</c:formatCode>
                <c:ptCount val="8"/>
                <c:pt idx="4">
                  <c:v>2550</c:v>
                </c:pt>
              </c:numCache>
            </c:numRef>
          </c:val>
        </c:ser>
        <c:ser>
          <c:idx val="1"/>
          <c:order val="1"/>
          <c:tx>
            <c:strRef>
              <c:f>Sheet8!$C$3:$C$4</c:f>
              <c:strCache>
                <c:ptCount val="1"/>
                <c:pt idx="0">
                  <c:v>CO</c:v>
                </c:pt>
              </c:strCache>
            </c:strRef>
          </c:tx>
          <c:invertIfNegative val="0"/>
          <c:cat>
            <c:strRef>
              <c:f>Sheet8!$A$5:$A$13</c:f>
              <c:strCache>
                <c:ptCount val="8"/>
                <c:pt idx="0">
                  <c:v>Andrew Cencini</c:v>
                </c:pt>
                <c:pt idx="1">
                  <c:v>Anne Hellung-Larsen</c:v>
                </c:pt>
                <c:pt idx="2">
                  <c:v>Jan Kotas</c:v>
                </c:pt>
                <c:pt idx="3">
                  <c:v>Laura Giussani</c:v>
                </c:pt>
                <c:pt idx="4">
                  <c:v>Mariya Sergienko</c:v>
                </c:pt>
                <c:pt idx="5">
                  <c:v>Michael Neipper</c:v>
                </c:pt>
                <c:pt idx="6">
                  <c:v>Nancy Freehafer</c:v>
                </c:pt>
                <c:pt idx="7">
                  <c:v>Robert Zare</c:v>
                </c:pt>
              </c:strCache>
            </c:strRef>
          </c:cat>
          <c:val>
            <c:numRef>
              <c:f>Sheet8!$C$5:$C$13</c:f>
              <c:numCache>
                <c:formatCode>General</c:formatCode>
                <c:ptCount val="8"/>
                <c:pt idx="2">
                  <c:v>127.5</c:v>
                </c:pt>
                <c:pt idx="6">
                  <c:v>2778</c:v>
                </c:pt>
              </c:numCache>
            </c:numRef>
          </c:val>
        </c:ser>
        <c:ser>
          <c:idx val="2"/>
          <c:order val="2"/>
          <c:tx>
            <c:strRef>
              <c:f>Sheet8!$D$3:$D$4</c:f>
              <c:strCache>
                <c:ptCount val="1"/>
                <c:pt idx="0">
                  <c:v>FL</c:v>
                </c:pt>
              </c:strCache>
            </c:strRef>
          </c:tx>
          <c:invertIfNegative val="0"/>
          <c:cat>
            <c:strRef>
              <c:f>Sheet8!$A$5:$A$13</c:f>
              <c:strCache>
                <c:ptCount val="8"/>
                <c:pt idx="0">
                  <c:v>Andrew Cencini</c:v>
                </c:pt>
                <c:pt idx="1">
                  <c:v>Anne Hellung-Larsen</c:v>
                </c:pt>
                <c:pt idx="2">
                  <c:v>Jan Kotas</c:v>
                </c:pt>
                <c:pt idx="3">
                  <c:v>Laura Giussani</c:v>
                </c:pt>
                <c:pt idx="4">
                  <c:v>Mariya Sergienko</c:v>
                </c:pt>
                <c:pt idx="5">
                  <c:v>Michael Neipper</c:v>
                </c:pt>
                <c:pt idx="6">
                  <c:v>Nancy Freehafer</c:v>
                </c:pt>
                <c:pt idx="7">
                  <c:v>Robert Zare</c:v>
                </c:pt>
              </c:strCache>
            </c:strRef>
          </c:cat>
          <c:val>
            <c:numRef>
              <c:f>Sheet8!$D$5:$D$13</c:f>
              <c:numCache>
                <c:formatCode>General</c:formatCode>
                <c:ptCount val="8"/>
                <c:pt idx="1">
                  <c:v>3625.25</c:v>
                </c:pt>
                <c:pt idx="6">
                  <c:v>800</c:v>
                </c:pt>
              </c:numCache>
            </c:numRef>
          </c:val>
        </c:ser>
        <c:ser>
          <c:idx val="3"/>
          <c:order val="3"/>
          <c:tx>
            <c:strRef>
              <c:f>Sheet8!$E$3:$E$4</c:f>
              <c:strCache>
                <c:ptCount val="1"/>
                <c:pt idx="0">
                  <c:v>IL</c:v>
                </c:pt>
              </c:strCache>
            </c:strRef>
          </c:tx>
          <c:invertIfNegative val="0"/>
          <c:cat>
            <c:strRef>
              <c:f>Sheet8!$A$5:$A$13</c:f>
              <c:strCache>
                <c:ptCount val="8"/>
                <c:pt idx="0">
                  <c:v>Andrew Cencini</c:v>
                </c:pt>
                <c:pt idx="1">
                  <c:v>Anne Hellung-Larsen</c:v>
                </c:pt>
                <c:pt idx="2">
                  <c:v>Jan Kotas</c:v>
                </c:pt>
                <c:pt idx="3">
                  <c:v>Laura Giussani</c:v>
                </c:pt>
                <c:pt idx="4">
                  <c:v>Mariya Sergienko</c:v>
                </c:pt>
                <c:pt idx="5">
                  <c:v>Michael Neipper</c:v>
                </c:pt>
                <c:pt idx="6">
                  <c:v>Nancy Freehafer</c:v>
                </c:pt>
                <c:pt idx="7">
                  <c:v>Robert Zare</c:v>
                </c:pt>
              </c:strCache>
            </c:strRef>
          </c:cat>
          <c:val>
            <c:numRef>
              <c:f>Sheet8!$E$5:$E$13</c:f>
              <c:numCache>
                <c:formatCode>General</c:formatCode>
                <c:ptCount val="8"/>
                <c:pt idx="1">
                  <c:v>860</c:v>
                </c:pt>
                <c:pt idx="4">
                  <c:v>798</c:v>
                </c:pt>
                <c:pt idx="6">
                  <c:v>614.5</c:v>
                </c:pt>
              </c:numCache>
            </c:numRef>
          </c:val>
        </c:ser>
        <c:ser>
          <c:idx val="4"/>
          <c:order val="4"/>
          <c:tx>
            <c:strRef>
              <c:f>Sheet8!$F$3:$F$4</c:f>
              <c:strCache>
                <c:ptCount val="1"/>
                <c:pt idx="0">
                  <c:v>NV</c:v>
                </c:pt>
              </c:strCache>
            </c:strRef>
          </c:tx>
          <c:invertIfNegative val="0"/>
          <c:cat>
            <c:strRef>
              <c:f>Sheet8!$A$5:$A$13</c:f>
              <c:strCache>
                <c:ptCount val="8"/>
                <c:pt idx="0">
                  <c:v>Andrew Cencini</c:v>
                </c:pt>
                <c:pt idx="1">
                  <c:v>Anne Hellung-Larsen</c:v>
                </c:pt>
                <c:pt idx="2">
                  <c:v>Jan Kotas</c:v>
                </c:pt>
                <c:pt idx="3">
                  <c:v>Laura Giussani</c:v>
                </c:pt>
                <c:pt idx="4">
                  <c:v>Mariya Sergienko</c:v>
                </c:pt>
                <c:pt idx="5">
                  <c:v>Michael Neipper</c:v>
                </c:pt>
                <c:pt idx="6">
                  <c:v>Nancy Freehafer</c:v>
                </c:pt>
                <c:pt idx="7">
                  <c:v>Robert Zare</c:v>
                </c:pt>
              </c:strCache>
            </c:strRef>
          </c:cat>
          <c:val>
            <c:numRef>
              <c:f>Sheet8!$F$5:$F$13</c:f>
              <c:numCache>
                <c:formatCode>General</c:formatCode>
                <c:ptCount val="8"/>
                <c:pt idx="1">
                  <c:v>1505</c:v>
                </c:pt>
                <c:pt idx="4">
                  <c:v>1190</c:v>
                </c:pt>
              </c:numCache>
            </c:numRef>
          </c:val>
        </c:ser>
        <c:ser>
          <c:idx val="5"/>
          <c:order val="5"/>
          <c:tx>
            <c:strRef>
              <c:f>Sheet8!$G$3:$G$4</c:f>
              <c:strCache>
                <c:ptCount val="1"/>
                <c:pt idx="0">
                  <c:v>NY</c:v>
                </c:pt>
              </c:strCache>
            </c:strRef>
          </c:tx>
          <c:invertIfNegative val="0"/>
          <c:cat>
            <c:strRef>
              <c:f>Sheet8!$A$5:$A$13</c:f>
              <c:strCache>
                <c:ptCount val="8"/>
                <c:pt idx="0">
                  <c:v>Andrew Cencini</c:v>
                </c:pt>
                <c:pt idx="1">
                  <c:v>Anne Hellung-Larsen</c:v>
                </c:pt>
                <c:pt idx="2">
                  <c:v>Jan Kotas</c:v>
                </c:pt>
                <c:pt idx="3">
                  <c:v>Laura Giussani</c:v>
                </c:pt>
                <c:pt idx="4">
                  <c:v>Mariya Sergienko</c:v>
                </c:pt>
                <c:pt idx="5">
                  <c:v>Michael Neipper</c:v>
                </c:pt>
                <c:pt idx="6">
                  <c:v>Nancy Freehafer</c:v>
                </c:pt>
                <c:pt idx="7">
                  <c:v>Robert Zare</c:v>
                </c:pt>
              </c:strCache>
            </c:strRef>
          </c:cat>
          <c:val>
            <c:numRef>
              <c:f>Sheet8!$G$5:$G$13</c:f>
              <c:numCache>
                <c:formatCode>General</c:formatCode>
                <c:ptCount val="8"/>
                <c:pt idx="1">
                  <c:v>184</c:v>
                </c:pt>
                <c:pt idx="2">
                  <c:v>4385</c:v>
                </c:pt>
              </c:numCache>
            </c:numRef>
          </c:val>
        </c:ser>
        <c:ser>
          <c:idx val="6"/>
          <c:order val="6"/>
          <c:tx>
            <c:strRef>
              <c:f>Sheet8!$H$3:$H$4</c:f>
              <c:strCache>
                <c:ptCount val="1"/>
                <c:pt idx="0">
                  <c:v>OR</c:v>
                </c:pt>
              </c:strCache>
            </c:strRef>
          </c:tx>
          <c:invertIfNegative val="0"/>
          <c:cat>
            <c:strRef>
              <c:f>Sheet8!$A$5:$A$13</c:f>
              <c:strCache>
                <c:ptCount val="8"/>
                <c:pt idx="0">
                  <c:v>Andrew Cencini</c:v>
                </c:pt>
                <c:pt idx="1">
                  <c:v>Anne Hellung-Larsen</c:v>
                </c:pt>
                <c:pt idx="2">
                  <c:v>Jan Kotas</c:v>
                </c:pt>
                <c:pt idx="3">
                  <c:v>Laura Giussani</c:v>
                </c:pt>
                <c:pt idx="4">
                  <c:v>Mariya Sergienko</c:v>
                </c:pt>
                <c:pt idx="5">
                  <c:v>Michael Neipper</c:v>
                </c:pt>
                <c:pt idx="6">
                  <c:v>Nancy Freehafer</c:v>
                </c:pt>
                <c:pt idx="7">
                  <c:v>Robert Zare</c:v>
                </c:pt>
              </c:strCache>
            </c:strRef>
          </c:cat>
          <c:val>
            <c:numRef>
              <c:f>Sheet8!$H$5:$H$13</c:f>
              <c:numCache>
                <c:formatCode>General</c:formatCode>
                <c:ptCount val="8"/>
                <c:pt idx="2">
                  <c:v>1275</c:v>
                </c:pt>
                <c:pt idx="4">
                  <c:v>1740</c:v>
                </c:pt>
                <c:pt idx="5">
                  <c:v>1668</c:v>
                </c:pt>
              </c:numCache>
            </c:numRef>
          </c:val>
        </c:ser>
        <c:ser>
          <c:idx val="7"/>
          <c:order val="7"/>
          <c:tx>
            <c:strRef>
              <c:f>Sheet8!$I$3:$I$4</c:f>
              <c:strCache>
                <c:ptCount val="1"/>
                <c:pt idx="0">
                  <c:v>TN</c:v>
                </c:pt>
              </c:strCache>
            </c:strRef>
          </c:tx>
          <c:invertIfNegative val="0"/>
          <c:cat>
            <c:strRef>
              <c:f>Sheet8!$A$5:$A$13</c:f>
              <c:strCache>
                <c:ptCount val="8"/>
                <c:pt idx="0">
                  <c:v>Andrew Cencini</c:v>
                </c:pt>
                <c:pt idx="1">
                  <c:v>Anne Hellung-Larsen</c:v>
                </c:pt>
                <c:pt idx="2">
                  <c:v>Jan Kotas</c:v>
                </c:pt>
                <c:pt idx="3">
                  <c:v>Laura Giussani</c:v>
                </c:pt>
                <c:pt idx="4">
                  <c:v>Mariya Sergienko</c:v>
                </c:pt>
                <c:pt idx="5">
                  <c:v>Michael Neipper</c:v>
                </c:pt>
                <c:pt idx="6">
                  <c:v>Nancy Freehafer</c:v>
                </c:pt>
                <c:pt idx="7">
                  <c:v>Robert Zare</c:v>
                </c:pt>
              </c:strCache>
            </c:strRef>
          </c:cat>
          <c:val>
            <c:numRef>
              <c:f>Sheet8!$I$5:$I$13</c:f>
              <c:numCache>
                <c:formatCode>General</c:formatCode>
                <c:ptCount val="8"/>
                <c:pt idx="1">
                  <c:v>13800</c:v>
                </c:pt>
                <c:pt idx="6">
                  <c:v>1632.5</c:v>
                </c:pt>
              </c:numCache>
            </c:numRef>
          </c:val>
        </c:ser>
        <c:ser>
          <c:idx val="8"/>
          <c:order val="8"/>
          <c:tx>
            <c:strRef>
              <c:f>Sheet8!$J$3:$J$4</c:f>
              <c:strCache>
                <c:ptCount val="1"/>
                <c:pt idx="0">
                  <c:v>UT</c:v>
                </c:pt>
              </c:strCache>
            </c:strRef>
          </c:tx>
          <c:invertIfNegative val="0"/>
          <c:cat>
            <c:strRef>
              <c:f>Sheet8!$A$5:$A$13</c:f>
              <c:strCache>
                <c:ptCount val="8"/>
                <c:pt idx="0">
                  <c:v>Andrew Cencini</c:v>
                </c:pt>
                <c:pt idx="1">
                  <c:v>Anne Hellung-Larsen</c:v>
                </c:pt>
                <c:pt idx="2">
                  <c:v>Jan Kotas</c:v>
                </c:pt>
                <c:pt idx="3">
                  <c:v>Laura Giussani</c:v>
                </c:pt>
                <c:pt idx="4">
                  <c:v>Mariya Sergienko</c:v>
                </c:pt>
                <c:pt idx="5">
                  <c:v>Michael Neipper</c:v>
                </c:pt>
                <c:pt idx="6">
                  <c:v>Nancy Freehafer</c:v>
                </c:pt>
                <c:pt idx="7">
                  <c:v>Robert Zare</c:v>
                </c:pt>
              </c:strCache>
            </c:strRef>
          </c:cat>
          <c:val>
            <c:numRef>
              <c:f>Sheet8!$J$5:$J$13</c:f>
              <c:numCache>
                <c:formatCode>General</c:formatCode>
                <c:ptCount val="8"/>
                <c:pt idx="7">
                  <c:v>3786.5</c:v>
                </c:pt>
              </c:numCache>
            </c:numRef>
          </c:val>
        </c:ser>
        <c:ser>
          <c:idx val="9"/>
          <c:order val="9"/>
          <c:tx>
            <c:strRef>
              <c:f>Sheet8!$K$3:$K$4</c:f>
              <c:strCache>
                <c:ptCount val="1"/>
                <c:pt idx="0">
                  <c:v>WA</c:v>
                </c:pt>
              </c:strCache>
            </c:strRef>
          </c:tx>
          <c:invertIfNegative val="0"/>
          <c:cat>
            <c:strRef>
              <c:f>Sheet8!$A$5:$A$13</c:f>
              <c:strCache>
                <c:ptCount val="8"/>
                <c:pt idx="0">
                  <c:v>Andrew Cencini</c:v>
                </c:pt>
                <c:pt idx="1">
                  <c:v>Anne Hellung-Larsen</c:v>
                </c:pt>
                <c:pt idx="2">
                  <c:v>Jan Kotas</c:v>
                </c:pt>
                <c:pt idx="3">
                  <c:v>Laura Giussani</c:v>
                </c:pt>
                <c:pt idx="4">
                  <c:v>Mariya Sergienko</c:v>
                </c:pt>
                <c:pt idx="5">
                  <c:v>Michael Neipper</c:v>
                </c:pt>
                <c:pt idx="6">
                  <c:v>Nancy Freehafer</c:v>
                </c:pt>
                <c:pt idx="7">
                  <c:v>Robert Zare</c:v>
                </c:pt>
              </c:strCache>
            </c:strRef>
          </c:cat>
          <c:val>
            <c:numRef>
              <c:f>Sheet8!$K$5:$K$13</c:f>
              <c:numCache>
                <c:formatCode>General</c:formatCode>
                <c:ptCount val="8"/>
                <c:pt idx="6">
                  <c:v>736</c:v>
                </c:pt>
              </c:numCache>
            </c:numRef>
          </c:val>
        </c:ser>
        <c:ser>
          <c:idx val="10"/>
          <c:order val="10"/>
          <c:tx>
            <c:strRef>
              <c:f>Sheet8!$L$3:$L$4</c:f>
              <c:strCache>
                <c:ptCount val="1"/>
                <c:pt idx="0">
                  <c:v>WI</c:v>
                </c:pt>
              </c:strCache>
            </c:strRef>
          </c:tx>
          <c:invertIfNegative val="0"/>
          <c:cat>
            <c:strRef>
              <c:f>Sheet8!$A$5:$A$13</c:f>
              <c:strCache>
                <c:ptCount val="8"/>
                <c:pt idx="0">
                  <c:v>Andrew Cencini</c:v>
                </c:pt>
                <c:pt idx="1">
                  <c:v>Anne Hellung-Larsen</c:v>
                </c:pt>
                <c:pt idx="2">
                  <c:v>Jan Kotas</c:v>
                </c:pt>
                <c:pt idx="3">
                  <c:v>Laura Giussani</c:v>
                </c:pt>
                <c:pt idx="4">
                  <c:v>Mariya Sergienko</c:v>
                </c:pt>
                <c:pt idx="5">
                  <c:v>Michael Neipper</c:v>
                </c:pt>
                <c:pt idx="6">
                  <c:v>Nancy Freehafer</c:v>
                </c:pt>
                <c:pt idx="7">
                  <c:v>Robert Zare</c:v>
                </c:pt>
              </c:strCache>
            </c:strRef>
          </c:cat>
          <c:val>
            <c:numRef>
              <c:f>Sheet8!$L$5:$L$13</c:f>
              <c:numCache>
                <c:formatCode>General</c:formatCode>
                <c:ptCount val="8"/>
                <c:pt idx="0">
                  <c:v>2617.5</c:v>
                </c:pt>
                <c:pt idx="3">
                  <c:v>680</c:v>
                </c:pt>
                <c:pt idx="5">
                  <c:v>4710</c:v>
                </c:pt>
              </c:numCache>
            </c:numRef>
          </c:val>
        </c:ser>
        <c:dLbls>
          <c:showLegendKey val="0"/>
          <c:showVal val="0"/>
          <c:showCatName val="0"/>
          <c:showSerName val="0"/>
          <c:showPercent val="0"/>
          <c:showBubbleSize val="0"/>
        </c:dLbls>
        <c:gapWidth val="150"/>
        <c:overlap val="100"/>
        <c:axId val="254349312"/>
        <c:axId val="254350848"/>
      </c:barChart>
      <c:catAx>
        <c:axId val="254349312"/>
        <c:scaling>
          <c:orientation val="minMax"/>
        </c:scaling>
        <c:delete val="0"/>
        <c:axPos val="b"/>
        <c:majorTickMark val="out"/>
        <c:minorTickMark val="none"/>
        <c:tickLblPos val="nextTo"/>
        <c:crossAx val="254350848"/>
        <c:crosses val="autoZero"/>
        <c:auto val="1"/>
        <c:lblAlgn val="ctr"/>
        <c:lblOffset val="100"/>
        <c:noMultiLvlLbl val="0"/>
      </c:catAx>
      <c:valAx>
        <c:axId val="254350848"/>
        <c:scaling>
          <c:orientation val="minMax"/>
        </c:scaling>
        <c:delete val="0"/>
        <c:axPos val="l"/>
        <c:majorGridlines/>
        <c:numFmt formatCode="General" sourceLinked="1"/>
        <c:majorTickMark val="out"/>
        <c:minorTickMark val="none"/>
        <c:tickLblPos val="nextTo"/>
        <c:crossAx val="254349312"/>
        <c:crosses val="autoZero"/>
        <c:crossBetween val="between"/>
      </c:valAx>
    </c:plotArea>
    <c:legend>
      <c:legendPos val="r"/>
      <c:layout/>
      <c:overlay val="0"/>
    </c:legend>
    <c:plotVisOnly val="1"/>
    <c:dispBlanksAs val="gap"/>
    <c:showDLblsOverMax val="0"/>
  </c:chart>
  <c:printSettings>
    <c:headerFooter/>
    <c:pageMargins b="0.75000000000000033" l="0.70000000000000029" r="0.70000000000000029" t="0.75000000000000033" header="0.30000000000000016" footer="0.30000000000000016"/>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[Slicers.xlsm]Sheet7!PivotTable11</c:name>
    <c:fmtId val="5"/>
  </c:pivotSource>
  <c:chart>
    <c:title>
      <c:tx>
        <c:rich>
          <a:bodyPr/>
          <a:lstStyle/>
          <a:p>
            <a:pPr>
              <a:defRPr/>
            </a:pPr>
            <a:r>
              <a:rPr lang="en-US"/>
              <a:t>Total Sales by Month</a:t>
            </a:r>
          </a:p>
        </c:rich>
      </c:tx>
      <c:layout/>
      <c:overlay val="0"/>
    </c:title>
    <c:autoTitleDeleted val="0"/>
    <c:pivotFmts>
      <c:pivotFmt>
        <c:idx val="0"/>
        <c:marker>
          <c:symbol val="none"/>
        </c:marker>
      </c:pivotFmt>
      <c:pivotFmt>
        <c:idx val="1"/>
        <c:marker>
          <c:symbol val="none"/>
        </c:marker>
      </c:pivotFmt>
      <c:pivotFmt>
        <c:idx val="2"/>
        <c:marker>
          <c:symbol val="none"/>
        </c:marker>
      </c:pivotFmt>
    </c:pivotFmts>
    <c:plotArea>
      <c:layout/>
      <c:barChart>
        <c:barDir val="col"/>
        <c:grouping val="clustered"/>
        <c:varyColors val="0"/>
        <c:ser>
          <c:idx val="0"/>
          <c:order val="0"/>
          <c:tx>
            <c:strRef>
              <c:f>Sheet7!$B$4</c:f>
              <c:strCache>
                <c:ptCount val="1"/>
                <c:pt idx="0">
                  <c:v>Total</c:v>
                </c:pt>
              </c:strCache>
            </c:strRef>
          </c:tx>
          <c:invertIfNegative val="0"/>
          <c:cat>
            <c:strRef>
              <c:f>Sheet7!$A$5:$A$11</c:f>
              <c:strCache>
                <c:ptCount val="6"/>
                <c:pt idx="0">
                  <c:v>January</c:v>
                </c:pt>
                <c:pt idx="1">
                  <c:v>February</c:v>
                </c:pt>
                <c:pt idx="2">
                  <c:v>March</c:v>
                </c:pt>
                <c:pt idx="3">
                  <c:v>April</c:v>
                </c:pt>
                <c:pt idx="4">
                  <c:v>May</c:v>
                </c:pt>
                <c:pt idx="5">
                  <c:v>June</c:v>
                </c:pt>
              </c:strCache>
            </c:strRef>
          </c:cat>
          <c:val>
            <c:numRef>
              <c:f>Sheet7!$B$5:$B$11</c:f>
              <c:numCache>
                <c:formatCode>General</c:formatCode>
                <c:ptCount val="6"/>
                <c:pt idx="0">
                  <c:v>3836</c:v>
                </c:pt>
                <c:pt idx="1">
                  <c:v>2241.5</c:v>
                </c:pt>
                <c:pt idx="2">
                  <c:v>16915</c:v>
                </c:pt>
                <c:pt idx="3">
                  <c:v>18975.25</c:v>
                </c:pt>
                <c:pt idx="4">
                  <c:v>1788.5</c:v>
                </c:pt>
                <c:pt idx="5">
                  <c:v>8306.5</c:v>
                </c:pt>
              </c:numCache>
            </c:numRef>
          </c:val>
        </c:ser>
        <c:dLbls>
          <c:showLegendKey val="0"/>
          <c:showVal val="0"/>
          <c:showCatName val="0"/>
          <c:showSerName val="0"/>
          <c:showPercent val="0"/>
          <c:showBubbleSize val="0"/>
        </c:dLbls>
        <c:gapWidth val="150"/>
        <c:axId val="254375040"/>
        <c:axId val="254376576"/>
      </c:barChart>
      <c:dateAx>
        <c:axId val="254375040"/>
        <c:scaling>
          <c:orientation val="minMax"/>
        </c:scaling>
        <c:delete val="0"/>
        <c:axPos val="b"/>
        <c:majorTickMark val="out"/>
        <c:minorTickMark val="none"/>
        <c:tickLblPos val="nextTo"/>
        <c:crossAx val="254376576"/>
        <c:crosses val="autoZero"/>
        <c:auto val="0"/>
        <c:lblOffset val="100"/>
        <c:baseTimeUnit val="days"/>
      </c:dateAx>
      <c:valAx>
        <c:axId val="254376576"/>
        <c:scaling>
          <c:orientation val="minMax"/>
        </c:scaling>
        <c:delete val="0"/>
        <c:axPos val="l"/>
        <c:majorGridlines/>
        <c:numFmt formatCode="General" sourceLinked="1"/>
        <c:majorTickMark val="out"/>
        <c:minorTickMark val="none"/>
        <c:tickLblPos val="nextTo"/>
        <c:crossAx val="254375040"/>
        <c:crosses val="autoZero"/>
        <c:crossBetween val="between"/>
      </c:valAx>
    </c:plotArea>
    <c:legend>
      <c:legendPos val="r"/>
      <c:layout/>
      <c:overlay val="0"/>
    </c:legend>
    <c:plotVisOnly val="1"/>
    <c:dispBlanksAs val="gap"/>
    <c:showDLblsOverMax val="0"/>
  </c:chart>
  <c:printSettings>
    <c:headerFooter/>
    <c:pageMargins b="0.75000000000000033" l="0.70000000000000029" r="0.70000000000000029" t="0.75000000000000033" header="0.30000000000000016" footer="0.30000000000000016"/>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[Slicers.xlsm]Sheet1!PivotTable10</c:name>
    <c:fmtId val="0"/>
  </c:pivotSource>
  <c:chart>
    <c:title>
      <c:tx>
        <c:rich>
          <a:bodyPr/>
          <a:lstStyle/>
          <a:p>
            <a:pPr>
              <a:defRPr/>
            </a:pPr>
            <a:r>
              <a:rPr lang="en-US"/>
              <a:t>Total Sales by</a:t>
            </a:r>
            <a:r>
              <a:rPr lang="en-US" baseline="0"/>
              <a:t> Product</a:t>
            </a:r>
            <a:endParaRPr lang="en-US"/>
          </a:p>
        </c:rich>
      </c:tx>
      <c:layout/>
      <c:overlay val="0"/>
    </c:title>
    <c:autoTitleDeleted val="0"/>
    <c:pivotFmts>
      <c:pivotFmt>
        <c:idx val="0"/>
        <c:marker>
          <c:symbol val="none"/>
        </c:marker>
      </c:pivotFmt>
      <c:pivotFmt>
        <c:idx val="1"/>
        <c:marker>
          <c:symbol val="none"/>
        </c:marker>
      </c:pivotFmt>
      <c:pivotFmt>
        <c:idx val="2"/>
        <c:marker>
          <c:symbol val="none"/>
        </c:marker>
      </c:pivotFmt>
      <c:pivotFmt>
        <c:idx val="3"/>
        <c:marker>
          <c:symbol val="none"/>
        </c:marker>
      </c:pivotFmt>
      <c:pivotFmt>
        <c:idx val="4"/>
        <c:marker>
          <c:symbol val="none"/>
        </c:marker>
      </c:pivotFmt>
      <c:pivotFmt>
        <c:idx val="5"/>
        <c:marker>
          <c:symbol val="none"/>
        </c:marker>
      </c:pivotFmt>
    </c:pivotFmts>
    <c:plotArea>
      <c:layout/>
      <c:barChart>
        <c:barDir val="col"/>
        <c:grouping val="clustered"/>
        <c:varyColors val="0"/>
        <c:ser>
          <c:idx val="0"/>
          <c:order val="0"/>
          <c:tx>
            <c:strRef>
              <c:f>Sheet1!$B$4</c:f>
              <c:strCache>
                <c:ptCount val="1"/>
                <c:pt idx="0">
                  <c:v>Total</c:v>
                </c:pt>
              </c:strCache>
            </c:strRef>
          </c:tx>
          <c:invertIfNegative val="0"/>
          <c:cat>
            <c:strRef>
              <c:f>Sheet1!$A$5:$A$19</c:f>
              <c:strCache>
                <c:ptCount val="14"/>
                <c:pt idx="0">
                  <c:v>Baked Goods &amp; Mixes</c:v>
                </c:pt>
                <c:pt idx="1">
                  <c:v>Beverages</c:v>
                </c:pt>
                <c:pt idx="2">
                  <c:v>Candy</c:v>
                </c:pt>
                <c:pt idx="3">
                  <c:v>Canned Fruit &amp; Vegetables</c:v>
                </c:pt>
                <c:pt idx="4">
                  <c:v>Canned Meat</c:v>
                </c:pt>
                <c:pt idx="5">
                  <c:v>Condiments</c:v>
                </c:pt>
                <c:pt idx="6">
                  <c:v>Dairy Products</c:v>
                </c:pt>
                <c:pt idx="7">
                  <c:v>Dried Fruit &amp; Nuts</c:v>
                </c:pt>
                <c:pt idx="8">
                  <c:v>Grains</c:v>
                </c:pt>
                <c:pt idx="9">
                  <c:v>Jams, Preserves</c:v>
                </c:pt>
                <c:pt idx="10">
                  <c:v>Oil</c:v>
                </c:pt>
                <c:pt idx="11">
                  <c:v>Pasta</c:v>
                </c:pt>
                <c:pt idx="12">
                  <c:v>Sauces</c:v>
                </c:pt>
                <c:pt idx="13">
                  <c:v>Soups</c:v>
                </c:pt>
              </c:strCache>
            </c:strRef>
          </c:cat>
          <c:val>
            <c:numRef>
              <c:f>Sheet1!$B$5:$B$19</c:f>
              <c:numCache>
                <c:formatCode>General</c:formatCode>
                <c:ptCount val="14"/>
                <c:pt idx="0">
                  <c:v>982</c:v>
                </c:pt>
                <c:pt idx="1">
                  <c:v>22636</c:v>
                </c:pt>
                <c:pt idx="2">
                  <c:v>2550</c:v>
                </c:pt>
                <c:pt idx="3">
                  <c:v>1560</c:v>
                </c:pt>
                <c:pt idx="4">
                  <c:v>2208</c:v>
                </c:pt>
                <c:pt idx="5">
                  <c:v>1380</c:v>
                </c:pt>
                <c:pt idx="6">
                  <c:v>3132</c:v>
                </c:pt>
                <c:pt idx="7">
                  <c:v>3712.5</c:v>
                </c:pt>
                <c:pt idx="8">
                  <c:v>280</c:v>
                </c:pt>
                <c:pt idx="9">
                  <c:v>5740</c:v>
                </c:pt>
                <c:pt idx="10">
                  <c:v>533.75</c:v>
                </c:pt>
                <c:pt idx="11">
                  <c:v>1950</c:v>
                </c:pt>
                <c:pt idx="12">
                  <c:v>2600</c:v>
                </c:pt>
                <c:pt idx="13">
                  <c:v>2798.5</c:v>
                </c:pt>
              </c:numCache>
            </c:numRef>
          </c:val>
        </c:ser>
        <c:dLbls>
          <c:showLegendKey val="0"/>
          <c:showVal val="0"/>
          <c:showCatName val="0"/>
          <c:showSerName val="0"/>
          <c:showPercent val="0"/>
          <c:showBubbleSize val="0"/>
        </c:dLbls>
        <c:gapWidth val="150"/>
        <c:axId val="255946752"/>
        <c:axId val="255948288"/>
      </c:barChart>
      <c:catAx>
        <c:axId val="255946752"/>
        <c:scaling>
          <c:orientation val="minMax"/>
        </c:scaling>
        <c:delete val="0"/>
        <c:axPos val="b"/>
        <c:majorTickMark val="out"/>
        <c:minorTickMark val="none"/>
        <c:tickLblPos val="nextTo"/>
        <c:crossAx val="255948288"/>
        <c:crosses val="autoZero"/>
        <c:auto val="1"/>
        <c:lblAlgn val="ctr"/>
        <c:lblOffset val="100"/>
        <c:noMultiLvlLbl val="0"/>
      </c:catAx>
      <c:valAx>
        <c:axId val="255948288"/>
        <c:scaling>
          <c:orientation val="minMax"/>
        </c:scaling>
        <c:delete val="0"/>
        <c:axPos val="l"/>
        <c:majorGridlines/>
        <c:numFmt formatCode="General" sourceLinked="1"/>
        <c:majorTickMark val="out"/>
        <c:minorTickMark val="none"/>
        <c:tickLblPos val="nextTo"/>
        <c:crossAx val="255946752"/>
        <c:crosses val="autoZero"/>
        <c:crossBetween val="between"/>
      </c:valAx>
    </c:plotArea>
    <c:legend>
      <c:legendPos val="r"/>
      <c:layout/>
      <c:overlay val="0"/>
    </c:legend>
    <c:plotVisOnly val="1"/>
    <c:dispBlanksAs val="gap"/>
    <c:showDLblsOverMax val="0"/>
  </c:chart>
  <c:printSettings>
    <c:headerFooter/>
    <c:pageMargins b="0.75000000000000011" l="0.70000000000000007" r="0.70000000000000007" t="0.75000000000000011" header="0.30000000000000004" footer="0.30000000000000004"/>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[Slicers.xlsm]Sheet7!PivotTable11</c:name>
    <c:fmtId val="0"/>
  </c:pivotSource>
  <c:chart>
    <c:title>
      <c:tx>
        <c:rich>
          <a:bodyPr/>
          <a:lstStyle/>
          <a:p>
            <a:pPr>
              <a:defRPr/>
            </a:pPr>
            <a:r>
              <a:rPr lang="en-US"/>
              <a:t>Total Sales by Month</a:t>
            </a:r>
          </a:p>
        </c:rich>
      </c:tx>
      <c:layout/>
      <c:overlay val="0"/>
    </c:title>
    <c:autoTitleDeleted val="0"/>
    <c:pivotFmts>
      <c:pivotFmt>
        <c:idx val="0"/>
        <c:marker>
          <c:symbol val="none"/>
        </c:marker>
      </c:pivotFmt>
    </c:pivotFmts>
    <c:plotArea>
      <c:layout/>
      <c:barChart>
        <c:barDir val="col"/>
        <c:grouping val="clustered"/>
        <c:varyColors val="0"/>
        <c:ser>
          <c:idx val="0"/>
          <c:order val="0"/>
          <c:tx>
            <c:strRef>
              <c:f>Sheet7!$B$4</c:f>
              <c:strCache>
                <c:ptCount val="1"/>
                <c:pt idx="0">
                  <c:v>Total</c:v>
                </c:pt>
              </c:strCache>
            </c:strRef>
          </c:tx>
          <c:invertIfNegative val="0"/>
          <c:cat>
            <c:strRef>
              <c:f>Sheet7!$A$5:$A$11</c:f>
              <c:strCache>
                <c:ptCount val="6"/>
                <c:pt idx="0">
                  <c:v>January</c:v>
                </c:pt>
                <c:pt idx="1">
                  <c:v>February</c:v>
                </c:pt>
                <c:pt idx="2">
                  <c:v>March</c:v>
                </c:pt>
                <c:pt idx="3">
                  <c:v>April</c:v>
                </c:pt>
                <c:pt idx="4">
                  <c:v>May</c:v>
                </c:pt>
                <c:pt idx="5">
                  <c:v>June</c:v>
                </c:pt>
              </c:strCache>
            </c:strRef>
          </c:cat>
          <c:val>
            <c:numRef>
              <c:f>Sheet7!$B$5:$B$11</c:f>
              <c:numCache>
                <c:formatCode>General</c:formatCode>
                <c:ptCount val="6"/>
                <c:pt idx="0">
                  <c:v>3836</c:v>
                </c:pt>
                <c:pt idx="1">
                  <c:v>2241.5</c:v>
                </c:pt>
                <c:pt idx="2">
                  <c:v>16915</c:v>
                </c:pt>
                <c:pt idx="3">
                  <c:v>18975.25</c:v>
                </c:pt>
                <c:pt idx="4">
                  <c:v>1788.5</c:v>
                </c:pt>
                <c:pt idx="5">
                  <c:v>8306.5</c:v>
                </c:pt>
              </c:numCache>
            </c:numRef>
          </c:val>
        </c:ser>
        <c:dLbls>
          <c:showLegendKey val="0"/>
          <c:showVal val="0"/>
          <c:showCatName val="0"/>
          <c:showSerName val="0"/>
          <c:showPercent val="0"/>
          <c:showBubbleSize val="0"/>
        </c:dLbls>
        <c:gapWidth val="150"/>
        <c:axId val="255965440"/>
        <c:axId val="255979520"/>
      </c:barChart>
      <c:dateAx>
        <c:axId val="255965440"/>
        <c:scaling>
          <c:orientation val="minMax"/>
        </c:scaling>
        <c:delete val="0"/>
        <c:axPos val="b"/>
        <c:majorTickMark val="out"/>
        <c:minorTickMark val="none"/>
        <c:tickLblPos val="nextTo"/>
        <c:crossAx val="255979520"/>
        <c:crosses val="autoZero"/>
        <c:auto val="0"/>
        <c:lblOffset val="100"/>
        <c:baseTimeUnit val="days"/>
      </c:dateAx>
      <c:valAx>
        <c:axId val="255979520"/>
        <c:scaling>
          <c:orientation val="minMax"/>
        </c:scaling>
        <c:delete val="0"/>
        <c:axPos val="l"/>
        <c:majorGridlines/>
        <c:numFmt formatCode="General" sourceLinked="1"/>
        <c:majorTickMark val="out"/>
        <c:minorTickMark val="none"/>
        <c:tickLblPos val="nextTo"/>
        <c:crossAx val="255965440"/>
        <c:crosses val="autoZero"/>
        <c:crossBetween val="between"/>
      </c:valAx>
    </c:plotArea>
    <c:legend>
      <c:legendPos val="r"/>
      <c:layout/>
      <c:overlay val="0"/>
    </c:legend>
    <c:plotVisOnly val="1"/>
    <c:dispBlanksAs val="gap"/>
    <c:showDLblsOverMax val="0"/>
  </c:chart>
  <c:printSettings>
    <c:headerFooter/>
    <c:pageMargins b="0.75000000000000011" l="0.70000000000000007" r="0.70000000000000007" t="0.75000000000000011" header="0.30000000000000004" footer="0.30000000000000004"/>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[Slicers.xlsm]Sheet8!PivotTable12</c:name>
    <c:fmtId val="3"/>
  </c:pivotSource>
  <c:chart>
    <c:autoTitleDeleted val="0"/>
    <c:pivotFmts>
      <c:pivotFmt>
        <c:idx val="0"/>
        <c:marker>
          <c:symbol val="none"/>
        </c:marker>
      </c:pivotFmt>
      <c:pivotFmt>
        <c:idx val="1"/>
        <c:marker>
          <c:symbol val="none"/>
        </c:marker>
      </c:pivotFmt>
      <c:pivotFmt>
        <c:idx val="2"/>
        <c:marker>
          <c:symbol val="none"/>
        </c:marker>
      </c:pivotFmt>
      <c:pivotFmt>
        <c:idx val="3"/>
        <c:marker>
          <c:symbol val="none"/>
        </c:marker>
      </c:pivotFmt>
      <c:pivotFmt>
        <c:idx val="4"/>
        <c:marker>
          <c:symbol val="none"/>
        </c:marker>
      </c:pivotFmt>
      <c:pivotFmt>
        <c:idx val="5"/>
        <c:marker>
          <c:symbol val="none"/>
        </c:marker>
      </c:pivotFmt>
      <c:pivotFmt>
        <c:idx val="6"/>
        <c:marker>
          <c:symbol val="none"/>
        </c:marker>
      </c:pivotFmt>
      <c:pivotFmt>
        <c:idx val="7"/>
        <c:marker>
          <c:symbol val="none"/>
        </c:marker>
      </c:pivotFmt>
      <c:pivotFmt>
        <c:idx val="8"/>
        <c:marker>
          <c:symbol val="none"/>
        </c:marker>
      </c:pivotFmt>
      <c:pivotFmt>
        <c:idx val="9"/>
        <c:marker>
          <c:symbol val="none"/>
        </c:marker>
      </c:pivotFmt>
      <c:pivotFmt>
        <c:idx val="10"/>
        <c:marker>
          <c:symbol val="none"/>
        </c:marker>
      </c:pivotFmt>
      <c:pivotFmt>
        <c:idx val="11"/>
        <c:marker>
          <c:symbol val="none"/>
        </c:marker>
      </c:pivotFmt>
    </c:pivotFmts>
    <c:plotArea>
      <c:layout/>
      <c:barChart>
        <c:barDir val="col"/>
        <c:grouping val="stacked"/>
        <c:varyColors val="0"/>
        <c:ser>
          <c:idx val="0"/>
          <c:order val="0"/>
          <c:tx>
            <c:strRef>
              <c:f>Sheet8!$B$3:$B$4</c:f>
              <c:strCache>
                <c:ptCount val="1"/>
                <c:pt idx="0">
                  <c:v>CA</c:v>
                </c:pt>
              </c:strCache>
            </c:strRef>
          </c:tx>
          <c:invertIfNegative val="0"/>
          <c:cat>
            <c:strRef>
              <c:f>Sheet8!$A$5:$A$13</c:f>
              <c:strCache>
                <c:ptCount val="8"/>
                <c:pt idx="0">
                  <c:v>Andrew Cencini</c:v>
                </c:pt>
                <c:pt idx="1">
                  <c:v>Anne Hellung-Larsen</c:v>
                </c:pt>
                <c:pt idx="2">
                  <c:v>Jan Kotas</c:v>
                </c:pt>
                <c:pt idx="3">
                  <c:v>Laura Giussani</c:v>
                </c:pt>
                <c:pt idx="4">
                  <c:v>Mariya Sergienko</c:v>
                </c:pt>
                <c:pt idx="5">
                  <c:v>Michael Neipper</c:v>
                </c:pt>
                <c:pt idx="6">
                  <c:v>Nancy Freehafer</c:v>
                </c:pt>
                <c:pt idx="7">
                  <c:v>Robert Zare</c:v>
                </c:pt>
              </c:strCache>
            </c:strRef>
          </c:cat>
          <c:val>
            <c:numRef>
              <c:f>Sheet8!$B$5:$B$13</c:f>
              <c:numCache>
                <c:formatCode>General</c:formatCode>
                <c:ptCount val="8"/>
                <c:pt idx="4">
                  <c:v>2550</c:v>
                </c:pt>
              </c:numCache>
            </c:numRef>
          </c:val>
        </c:ser>
        <c:ser>
          <c:idx val="1"/>
          <c:order val="1"/>
          <c:tx>
            <c:strRef>
              <c:f>Sheet8!$C$3:$C$4</c:f>
              <c:strCache>
                <c:ptCount val="1"/>
                <c:pt idx="0">
                  <c:v>CO</c:v>
                </c:pt>
              </c:strCache>
            </c:strRef>
          </c:tx>
          <c:invertIfNegative val="0"/>
          <c:cat>
            <c:strRef>
              <c:f>Sheet8!$A$5:$A$13</c:f>
              <c:strCache>
                <c:ptCount val="8"/>
                <c:pt idx="0">
                  <c:v>Andrew Cencini</c:v>
                </c:pt>
                <c:pt idx="1">
                  <c:v>Anne Hellung-Larsen</c:v>
                </c:pt>
                <c:pt idx="2">
                  <c:v>Jan Kotas</c:v>
                </c:pt>
                <c:pt idx="3">
                  <c:v>Laura Giussani</c:v>
                </c:pt>
                <c:pt idx="4">
                  <c:v>Mariya Sergienko</c:v>
                </c:pt>
                <c:pt idx="5">
                  <c:v>Michael Neipper</c:v>
                </c:pt>
                <c:pt idx="6">
                  <c:v>Nancy Freehafer</c:v>
                </c:pt>
                <c:pt idx="7">
                  <c:v>Robert Zare</c:v>
                </c:pt>
              </c:strCache>
            </c:strRef>
          </c:cat>
          <c:val>
            <c:numRef>
              <c:f>Sheet8!$C$5:$C$13</c:f>
              <c:numCache>
                <c:formatCode>General</c:formatCode>
                <c:ptCount val="8"/>
                <c:pt idx="2">
                  <c:v>127.5</c:v>
                </c:pt>
                <c:pt idx="6">
                  <c:v>2778</c:v>
                </c:pt>
              </c:numCache>
            </c:numRef>
          </c:val>
        </c:ser>
        <c:ser>
          <c:idx val="2"/>
          <c:order val="2"/>
          <c:tx>
            <c:strRef>
              <c:f>Sheet8!$D$3:$D$4</c:f>
              <c:strCache>
                <c:ptCount val="1"/>
                <c:pt idx="0">
                  <c:v>FL</c:v>
                </c:pt>
              </c:strCache>
            </c:strRef>
          </c:tx>
          <c:invertIfNegative val="0"/>
          <c:cat>
            <c:strRef>
              <c:f>Sheet8!$A$5:$A$13</c:f>
              <c:strCache>
                <c:ptCount val="8"/>
                <c:pt idx="0">
                  <c:v>Andrew Cencini</c:v>
                </c:pt>
                <c:pt idx="1">
                  <c:v>Anne Hellung-Larsen</c:v>
                </c:pt>
                <c:pt idx="2">
                  <c:v>Jan Kotas</c:v>
                </c:pt>
                <c:pt idx="3">
                  <c:v>Laura Giussani</c:v>
                </c:pt>
                <c:pt idx="4">
                  <c:v>Mariya Sergienko</c:v>
                </c:pt>
                <c:pt idx="5">
                  <c:v>Michael Neipper</c:v>
                </c:pt>
                <c:pt idx="6">
                  <c:v>Nancy Freehafer</c:v>
                </c:pt>
                <c:pt idx="7">
                  <c:v>Robert Zare</c:v>
                </c:pt>
              </c:strCache>
            </c:strRef>
          </c:cat>
          <c:val>
            <c:numRef>
              <c:f>Sheet8!$D$5:$D$13</c:f>
              <c:numCache>
                <c:formatCode>General</c:formatCode>
                <c:ptCount val="8"/>
                <c:pt idx="1">
                  <c:v>3625.25</c:v>
                </c:pt>
                <c:pt idx="6">
                  <c:v>800</c:v>
                </c:pt>
              </c:numCache>
            </c:numRef>
          </c:val>
        </c:ser>
        <c:ser>
          <c:idx val="3"/>
          <c:order val="3"/>
          <c:tx>
            <c:strRef>
              <c:f>Sheet8!$E$3:$E$4</c:f>
              <c:strCache>
                <c:ptCount val="1"/>
                <c:pt idx="0">
                  <c:v>IL</c:v>
                </c:pt>
              </c:strCache>
            </c:strRef>
          </c:tx>
          <c:invertIfNegative val="0"/>
          <c:cat>
            <c:strRef>
              <c:f>Sheet8!$A$5:$A$13</c:f>
              <c:strCache>
                <c:ptCount val="8"/>
                <c:pt idx="0">
                  <c:v>Andrew Cencini</c:v>
                </c:pt>
                <c:pt idx="1">
                  <c:v>Anne Hellung-Larsen</c:v>
                </c:pt>
                <c:pt idx="2">
                  <c:v>Jan Kotas</c:v>
                </c:pt>
                <c:pt idx="3">
                  <c:v>Laura Giussani</c:v>
                </c:pt>
                <c:pt idx="4">
                  <c:v>Mariya Sergienko</c:v>
                </c:pt>
                <c:pt idx="5">
                  <c:v>Michael Neipper</c:v>
                </c:pt>
                <c:pt idx="6">
                  <c:v>Nancy Freehafer</c:v>
                </c:pt>
                <c:pt idx="7">
                  <c:v>Robert Zare</c:v>
                </c:pt>
              </c:strCache>
            </c:strRef>
          </c:cat>
          <c:val>
            <c:numRef>
              <c:f>Sheet8!$E$5:$E$13</c:f>
              <c:numCache>
                <c:formatCode>General</c:formatCode>
                <c:ptCount val="8"/>
                <c:pt idx="1">
                  <c:v>860</c:v>
                </c:pt>
                <c:pt idx="4">
                  <c:v>798</c:v>
                </c:pt>
                <c:pt idx="6">
                  <c:v>614.5</c:v>
                </c:pt>
              </c:numCache>
            </c:numRef>
          </c:val>
        </c:ser>
        <c:ser>
          <c:idx val="4"/>
          <c:order val="4"/>
          <c:tx>
            <c:strRef>
              <c:f>Sheet8!$F$3:$F$4</c:f>
              <c:strCache>
                <c:ptCount val="1"/>
                <c:pt idx="0">
                  <c:v>NV</c:v>
                </c:pt>
              </c:strCache>
            </c:strRef>
          </c:tx>
          <c:invertIfNegative val="0"/>
          <c:cat>
            <c:strRef>
              <c:f>Sheet8!$A$5:$A$13</c:f>
              <c:strCache>
                <c:ptCount val="8"/>
                <c:pt idx="0">
                  <c:v>Andrew Cencini</c:v>
                </c:pt>
                <c:pt idx="1">
                  <c:v>Anne Hellung-Larsen</c:v>
                </c:pt>
                <c:pt idx="2">
                  <c:v>Jan Kotas</c:v>
                </c:pt>
                <c:pt idx="3">
                  <c:v>Laura Giussani</c:v>
                </c:pt>
                <c:pt idx="4">
                  <c:v>Mariya Sergienko</c:v>
                </c:pt>
                <c:pt idx="5">
                  <c:v>Michael Neipper</c:v>
                </c:pt>
                <c:pt idx="6">
                  <c:v>Nancy Freehafer</c:v>
                </c:pt>
                <c:pt idx="7">
                  <c:v>Robert Zare</c:v>
                </c:pt>
              </c:strCache>
            </c:strRef>
          </c:cat>
          <c:val>
            <c:numRef>
              <c:f>Sheet8!$F$5:$F$13</c:f>
              <c:numCache>
                <c:formatCode>General</c:formatCode>
                <c:ptCount val="8"/>
                <c:pt idx="1">
                  <c:v>1505</c:v>
                </c:pt>
                <c:pt idx="4">
                  <c:v>1190</c:v>
                </c:pt>
              </c:numCache>
            </c:numRef>
          </c:val>
        </c:ser>
        <c:ser>
          <c:idx val="5"/>
          <c:order val="5"/>
          <c:tx>
            <c:strRef>
              <c:f>Sheet8!$G$3:$G$4</c:f>
              <c:strCache>
                <c:ptCount val="1"/>
                <c:pt idx="0">
                  <c:v>NY</c:v>
                </c:pt>
              </c:strCache>
            </c:strRef>
          </c:tx>
          <c:invertIfNegative val="0"/>
          <c:cat>
            <c:strRef>
              <c:f>Sheet8!$A$5:$A$13</c:f>
              <c:strCache>
                <c:ptCount val="8"/>
                <c:pt idx="0">
                  <c:v>Andrew Cencini</c:v>
                </c:pt>
                <c:pt idx="1">
                  <c:v>Anne Hellung-Larsen</c:v>
                </c:pt>
                <c:pt idx="2">
                  <c:v>Jan Kotas</c:v>
                </c:pt>
                <c:pt idx="3">
                  <c:v>Laura Giussani</c:v>
                </c:pt>
                <c:pt idx="4">
                  <c:v>Mariya Sergienko</c:v>
                </c:pt>
                <c:pt idx="5">
                  <c:v>Michael Neipper</c:v>
                </c:pt>
                <c:pt idx="6">
                  <c:v>Nancy Freehafer</c:v>
                </c:pt>
                <c:pt idx="7">
                  <c:v>Robert Zare</c:v>
                </c:pt>
              </c:strCache>
            </c:strRef>
          </c:cat>
          <c:val>
            <c:numRef>
              <c:f>Sheet8!$G$5:$G$13</c:f>
              <c:numCache>
                <c:formatCode>General</c:formatCode>
                <c:ptCount val="8"/>
                <c:pt idx="1">
                  <c:v>184</c:v>
                </c:pt>
                <c:pt idx="2">
                  <c:v>4385</c:v>
                </c:pt>
              </c:numCache>
            </c:numRef>
          </c:val>
        </c:ser>
        <c:ser>
          <c:idx val="6"/>
          <c:order val="6"/>
          <c:tx>
            <c:strRef>
              <c:f>Sheet8!$H$3:$H$4</c:f>
              <c:strCache>
                <c:ptCount val="1"/>
                <c:pt idx="0">
                  <c:v>OR</c:v>
                </c:pt>
              </c:strCache>
            </c:strRef>
          </c:tx>
          <c:invertIfNegative val="0"/>
          <c:cat>
            <c:strRef>
              <c:f>Sheet8!$A$5:$A$13</c:f>
              <c:strCache>
                <c:ptCount val="8"/>
                <c:pt idx="0">
                  <c:v>Andrew Cencini</c:v>
                </c:pt>
                <c:pt idx="1">
                  <c:v>Anne Hellung-Larsen</c:v>
                </c:pt>
                <c:pt idx="2">
                  <c:v>Jan Kotas</c:v>
                </c:pt>
                <c:pt idx="3">
                  <c:v>Laura Giussani</c:v>
                </c:pt>
                <c:pt idx="4">
                  <c:v>Mariya Sergienko</c:v>
                </c:pt>
                <c:pt idx="5">
                  <c:v>Michael Neipper</c:v>
                </c:pt>
                <c:pt idx="6">
                  <c:v>Nancy Freehafer</c:v>
                </c:pt>
                <c:pt idx="7">
                  <c:v>Robert Zare</c:v>
                </c:pt>
              </c:strCache>
            </c:strRef>
          </c:cat>
          <c:val>
            <c:numRef>
              <c:f>Sheet8!$H$5:$H$13</c:f>
              <c:numCache>
                <c:formatCode>General</c:formatCode>
                <c:ptCount val="8"/>
                <c:pt idx="2">
                  <c:v>1275</c:v>
                </c:pt>
                <c:pt idx="4">
                  <c:v>1740</c:v>
                </c:pt>
                <c:pt idx="5">
                  <c:v>1668</c:v>
                </c:pt>
              </c:numCache>
            </c:numRef>
          </c:val>
        </c:ser>
        <c:ser>
          <c:idx val="7"/>
          <c:order val="7"/>
          <c:tx>
            <c:strRef>
              <c:f>Sheet8!$I$3:$I$4</c:f>
              <c:strCache>
                <c:ptCount val="1"/>
                <c:pt idx="0">
                  <c:v>TN</c:v>
                </c:pt>
              </c:strCache>
            </c:strRef>
          </c:tx>
          <c:invertIfNegative val="0"/>
          <c:cat>
            <c:strRef>
              <c:f>Sheet8!$A$5:$A$13</c:f>
              <c:strCache>
                <c:ptCount val="8"/>
                <c:pt idx="0">
                  <c:v>Andrew Cencini</c:v>
                </c:pt>
                <c:pt idx="1">
                  <c:v>Anne Hellung-Larsen</c:v>
                </c:pt>
                <c:pt idx="2">
                  <c:v>Jan Kotas</c:v>
                </c:pt>
                <c:pt idx="3">
                  <c:v>Laura Giussani</c:v>
                </c:pt>
                <c:pt idx="4">
                  <c:v>Mariya Sergienko</c:v>
                </c:pt>
                <c:pt idx="5">
                  <c:v>Michael Neipper</c:v>
                </c:pt>
                <c:pt idx="6">
                  <c:v>Nancy Freehafer</c:v>
                </c:pt>
                <c:pt idx="7">
                  <c:v>Robert Zare</c:v>
                </c:pt>
              </c:strCache>
            </c:strRef>
          </c:cat>
          <c:val>
            <c:numRef>
              <c:f>Sheet8!$I$5:$I$13</c:f>
              <c:numCache>
                <c:formatCode>General</c:formatCode>
                <c:ptCount val="8"/>
                <c:pt idx="1">
                  <c:v>13800</c:v>
                </c:pt>
                <c:pt idx="6">
                  <c:v>1632.5</c:v>
                </c:pt>
              </c:numCache>
            </c:numRef>
          </c:val>
        </c:ser>
        <c:ser>
          <c:idx val="8"/>
          <c:order val="8"/>
          <c:tx>
            <c:strRef>
              <c:f>Sheet8!$J$3:$J$4</c:f>
              <c:strCache>
                <c:ptCount val="1"/>
                <c:pt idx="0">
                  <c:v>UT</c:v>
                </c:pt>
              </c:strCache>
            </c:strRef>
          </c:tx>
          <c:invertIfNegative val="0"/>
          <c:cat>
            <c:strRef>
              <c:f>Sheet8!$A$5:$A$13</c:f>
              <c:strCache>
                <c:ptCount val="8"/>
                <c:pt idx="0">
                  <c:v>Andrew Cencini</c:v>
                </c:pt>
                <c:pt idx="1">
                  <c:v>Anne Hellung-Larsen</c:v>
                </c:pt>
                <c:pt idx="2">
                  <c:v>Jan Kotas</c:v>
                </c:pt>
                <c:pt idx="3">
                  <c:v>Laura Giussani</c:v>
                </c:pt>
                <c:pt idx="4">
                  <c:v>Mariya Sergienko</c:v>
                </c:pt>
                <c:pt idx="5">
                  <c:v>Michael Neipper</c:v>
                </c:pt>
                <c:pt idx="6">
                  <c:v>Nancy Freehafer</c:v>
                </c:pt>
                <c:pt idx="7">
                  <c:v>Robert Zare</c:v>
                </c:pt>
              </c:strCache>
            </c:strRef>
          </c:cat>
          <c:val>
            <c:numRef>
              <c:f>Sheet8!$J$5:$J$13</c:f>
              <c:numCache>
                <c:formatCode>General</c:formatCode>
                <c:ptCount val="8"/>
                <c:pt idx="7">
                  <c:v>3786.5</c:v>
                </c:pt>
              </c:numCache>
            </c:numRef>
          </c:val>
        </c:ser>
        <c:ser>
          <c:idx val="9"/>
          <c:order val="9"/>
          <c:tx>
            <c:strRef>
              <c:f>Sheet8!$K$3:$K$4</c:f>
              <c:strCache>
                <c:ptCount val="1"/>
                <c:pt idx="0">
                  <c:v>WA</c:v>
                </c:pt>
              </c:strCache>
            </c:strRef>
          </c:tx>
          <c:invertIfNegative val="0"/>
          <c:cat>
            <c:strRef>
              <c:f>Sheet8!$A$5:$A$13</c:f>
              <c:strCache>
                <c:ptCount val="8"/>
                <c:pt idx="0">
                  <c:v>Andrew Cencini</c:v>
                </c:pt>
                <c:pt idx="1">
                  <c:v>Anne Hellung-Larsen</c:v>
                </c:pt>
                <c:pt idx="2">
                  <c:v>Jan Kotas</c:v>
                </c:pt>
                <c:pt idx="3">
                  <c:v>Laura Giussani</c:v>
                </c:pt>
                <c:pt idx="4">
                  <c:v>Mariya Sergienko</c:v>
                </c:pt>
                <c:pt idx="5">
                  <c:v>Michael Neipper</c:v>
                </c:pt>
                <c:pt idx="6">
                  <c:v>Nancy Freehafer</c:v>
                </c:pt>
                <c:pt idx="7">
                  <c:v>Robert Zare</c:v>
                </c:pt>
              </c:strCache>
            </c:strRef>
          </c:cat>
          <c:val>
            <c:numRef>
              <c:f>Sheet8!$K$5:$K$13</c:f>
              <c:numCache>
                <c:formatCode>General</c:formatCode>
                <c:ptCount val="8"/>
                <c:pt idx="6">
                  <c:v>736</c:v>
                </c:pt>
              </c:numCache>
            </c:numRef>
          </c:val>
        </c:ser>
        <c:ser>
          <c:idx val="10"/>
          <c:order val="10"/>
          <c:tx>
            <c:strRef>
              <c:f>Sheet8!$L$3:$L$4</c:f>
              <c:strCache>
                <c:ptCount val="1"/>
                <c:pt idx="0">
                  <c:v>WI</c:v>
                </c:pt>
              </c:strCache>
            </c:strRef>
          </c:tx>
          <c:invertIfNegative val="0"/>
          <c:cat>
            <c:strRef>
              <c:f>Sheet8!$A$5:$A$13</c:f>
              <c:strCache>
                <c:ptCount val="8"/>
                <c:pt idx="0">
                  <c:v>Andrew Cencini</c:v>
                </c:pt>
                <c:pt idx="1">
                  <c:v>Anne Hellung-Larsen</c:v>
                </c:pt>
                <c:pt idx="2">
                  <c:v>Jan Kotas</c:v>
                </c:pt>
                <c:pt idx="3">
                  <c:v>Laura Giussani</c:v>
                </c:pt>
                <c:pt idx="4">
                  <c:v>Mariya Sergienko</c:v>
                </c:pt>
                <c:pt idx="5">
                  <c:v>Michael Neipper</c:v>
                </c:pt>
                <c:pt idx="6">
                  <c:v>Nancy Freehafer</c:v>
                </c:pt>
                <c:pt idx="7">
                  <c:v>Robert Zare</c:v>
                </c:pt>
              </c:strCache>
            </c:strRef>
          </c:cat>
          <c:val>
            <c:numRef>
              <c:f>Sheet8!$L$5:$L$13</c:f>
              <c:numCache>
                <c:formatCode>General</c:formatCode>
                <c:ptCount val="8"/>
                <c:pt idx="0">
                  <c:v>2617.5</c:v>
                </c:pt>
                <c:pt idx="3">
                  <c:v>680</c:v>
                </c:pt>
                <c:pt idx="5">
                  <c:v>4710</c:v>
                </c:pt>
              </c:numCache>
            </c:numRef>
          </c:val>
        </c:ser>
        <c:dLbls>
          <c:showLegendKey val="0"/>
          <c:showVal val="0"/>
          <c:showCatName val="0"/>
          <c:showSerName val="0"/>
          <c:showPercent val="0"/>
          <c:showBubbleSize val="0"/>
        </c:dLbls>
        <c:gapWidth val="150"/>
        <c:overlap val="100"/>
        <c:axId val="256090880"/>
        <c:axId val="256092416"/>
      </c:barChart>
      <c:catAx>
        <c:axId val="256090880"/>
        <c:scaling>
          <c:orientation val="minMax"/>
        </c:scaling>
        <c:delete val="0"/>
        <c:axPos val="b"/>
        <c:majorTickMark val="out"/>
        <c:minorTickMark val="none"/>
        <c:tickLblPos val="nextTo"/>
        <c:crossAx val="256092416"/>
        <c:crosses val="autoZero"/>
        <c:auto val="1"/>
        <c:lblAlgn val="ctr"/>
        <c:lblOffset val="100"/>
        <c:noMultiLvlLbl val="0"/>
      </c:catAx>
      <c:valAx>
        <c:axId val="256092416"/>
        <c:scaling>
          <c:orientation val="minMax"/>
        </c:scaling>
        <c:delete val="0"/>
        <c:axPos val="l"/>
        <c:majorGridlines/>
        <c:numFmt formatCode="General" sourceLinked="1"/>
        <c:majorTickMark val="out"/>
        <c:minorTickMark val="none"/>
        <c:tickLblPos val="nextTo"/>
        <c:crossAx val="256090880"/>
        <c:crosses val="autoZero"/>
        <c:crossBetween val="between"/>
      </c:valAx>
    </c:plotArea>
    <c:legend>
      <c:legendPos val="r"/>
      <c:layout/>
      <c:overlay val="0"/>
    </c:legend>
    <c:plotVisOnly val="1"/>
    <c:dispBlanksAs val="gap"/>
    <c:showDLblsOverMax val="0"/>
  </c:chart>
  <c:printSettings>
    <c:headerFooter/>
    <c:pageMargins b="0.75000000000000033" l="0.70000000000000029" r="0.70000000000000029" t="0.75000000000000033" header="0.30000000000000016" footer="0.30000000000000016"/>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GBox" noThreeD="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4.xml"/></Relationships>
</file>

<file path=xl/drawings/_rels/drawing3.xml.rels><?xml version="1.0" encoding="UTF-8" standalone="yes"?>
<Relationships xmlns="http://schemas.openxmlformats.org/package/2006/relationships"><Relationship Id="rId1" Type="http://schemas.openxmlformats.org/officeDocument/2006/relationships/chart" Target="../charts/chart5.xml"/></Relationships>
</file>

<file path=xl/drawings/_rels/drawing4.xml.rels><?xml version="1.0" encoding="UTF-8" standalone="yes"?>
<Relationships xmlns="http://schemas.openxmlformats.org/package/2006/relationships"><Relationship Id="rId1" Type="http://schemas.openxmlformats.org/officeDocument/2006/relationships/chart" Target="../charts/chart6.xml"/></Relationships>
</file>

<file path=xl/drawings/drawing1.xml><?xml version="1.0" encoding="utf-8"?>
<xdr:wsDr xmlns:xdr="http://schemas.openxmlformats.org/drawingml/2006/spreadsheetDrawing" xmlns:a="http://schemas.openxmlformats.org/drawingml/2006/main">
  <xdr:twoCellAnchor>
    <xdr:from>
      <xdr:col>0</xdr:col>
      <xdr:colOff>0</xdr:colOff>
      <xdr:row>2</xdr:row>
      <xdr:rowOff>123825</xdr:rowOff>
    </xdr:from>
    <xdr:to>
      <xdr:col>7</xdr:col>
      <xdr:colOff>304800</xdr:colOff>
      <xdr:row>17</xdr:row>
      <xdr:rowOff>9525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122463</xdr:colOff>
      <xdr:row>22</xdr:row>
      <xdr:rowOff>81642</xdr:rowOff>
    </xdr:from>
    <xdr:to>
      <xdr:col>15</xdr:col>
      <xdr:colOff>435429</xdr:colOff>
      <xdr:row>36</xdr:row>
      <xdr:rowOff>157842</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174046</xdr:colOff>
      <xdr:row>2</xdr:row>
      <xdr:rowOff>136072</xdr:rowOff>
    </xdr:from>
    <xdr:to>
      <xdr:col>15</xdr:col>
      <xdr:colOff>453611</xdr:colOff>
      <xdr:row>17</xdr:row>
      <xdr:rowOff>21772</xdr:rowOff>
    </xdr:to>
    <xdr:graphicFrame macro="">
      <xdr:nvGraphicFramePr>
        <xdr:cNvPr id="5" name="Chart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mc:AlternateContent xmlns:mc="http://schemas.openxmlformats.org/markup-compatibility/2006">
    <mc:Choice xmlns:a14="http://schemas.microsoft.com/office/drawing/2010/main" Requires="a14">
      <xdr:twoCellAnchor>
        <xdr:from>
          <xdr:col>17</xdr:col>
          <xdr:colOff>9525</xdr:colOff>
          <xdr:row>4</xdr:row>
          <xdr:rowOff>95250</xdr:rowOff>
        </xdr:from>
        <xdr:to>
          <xdr:col>19</xdr:col>
          <xdr:colOff>381000</xdr:colOff>
          <xdr:row>5</xdr:row>
          <xdr:rowOff>180975</xdr:rowOff>
        </xdr:to>
        <xdr:sp macro="" textlink="">
          <xdr:nvSpPr>
            <xdr:cNvPr id="1025" name="Button 1" hidden="1">
              <a:extLst>
                <a:ext uri="{63B3BB69-23CF-44E3-9099-C40C66FF867C}">
                  <a14:compatExt spid="_x0000_s1025"/>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Calibri"/>
                  <a:cs typeface="Calibri"/>
                </a:rPr>
                <a:t>Andrew Cencini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6</xdr:row>
          <xdr:rowOff>76200</xdr:rowOff>
        </xdr:from>
        <xdr:to>
          <xdr:col>19</xdr:col>
          <xdr:colOff>371475</xdr:colOff>
          <xdr:row>7</xdr:row>
          <xdr:rowOff>161925</xdr:rowOff>
        </xdr:to>
        <xdr:sp macro="" textlink="">
          <xdr:nvSpPr>
            <xdr:cNvPr id="1027" name="Button 3" hidden="1">
              <a:extLst>
                <a:ext uri="{63B3BB69-23CF-44E3-9099-C40C66FF867C}">
                  <a14:compatExt spid="_x0000_s1027"/>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Calibri"/>
                  <a:cs typeface="Calibri"/>
                </a:rPr>
                <a:t>Anne Hellung-Larsen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9525</xdr:colOff>
          <xdr:row>8</xdr:row>
          <xdr:rowOff>47625</xdr:rowOff>
        </xdr:from>
        <xdr:to>
          <xdr:col>19</xdr:col>
          <xdr:colOff>381000</xdr:colOff>
          <xdr:row>9</xdr:row>
          <xdr:rowOff>133350</xdr:rowOff>
        </xdr:to>
        <xdr:sp macro="" textlink="">
          <xdr:nvSpPr>
            <xdr:cNvPr id="1028" name="Button 4" hidden="1">
              <a:extLst>
                <a:ext uri="{63B3BB69-23CF-44E3-9099-C40C66FF867C}">
                  <a14:compatExt spid="_x0000_s1028"/>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Calibri"/>
                  <a:cs typeface="Calibri"/>
                </a:rPr>
                <a:t>Jan Kotas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16</xdr:col>
          <xdr:colOff>561975</xdr:colOff>
          <xdr:row>3</xdr:row>
          <xdr:rowOff>104775</xdr:rowOff>
        </xdr:from>
        <xdr:to>
          <xdr:col>22</xdr:col>
          <xdr:colOff>266700</xdr:colOff>
          <xdr:row>13</xdr:row>
          <xdr:rowOff>142875</xdr:rowOff>
        </xdr:to>
        <xdr:sp macro="" textlink="">
          <xdr:nvSpPr>
            <xdr:cNvPr id="1029" name="Group Box 5" hidden="1">
              <a:extLst>
                <a:ext uri="{63B3BB69-23CF-44E3-9099-C40C66FF867C}">
                  <a14:compatExt spid="_x0000_s1029"/>
                </a:ext>
              </a:extLst>
            </xdr:cNvPr>
            <xdr:cNvSpPr/>
          </xdr:nvSpPr>
          <xdr:spPr>
            <a:xfrm>
              <a:off x="0" y="0"/>
              <a:ext cx="0" cy="0"/>
            </a:xfrm>
            <a:prstGeom prst="rect">
              <a:avLst/>
            </a:prstGeom>
          </xdr:spPr>
          <xdr:txBody>
            <a:bodyPr vertOverflow="clip" wrap="none" lIns="27432" tIns="18288" rIns="0" bIns="0" anchor="t" upright="1"/>
            <a:lstStyle/>
            <a:p>
              <a:pPr algn="l" rtl="0">
                <a:defRPr sz="1000"/>
              </a:pPr>
              <a:r>
                <a:rPr lang="en-US" sz="800" b="0" i="0" u="none" strike="noStrike" baseline="0">
                  <a:solidFill>
                    <a:srgbClr val="000000"/>
                  </a:solidFill>
                  <a:latin typeface="Tahoma"/>
                  <a:ea typeface="Tahoma"/>
                  <a:cs typeface="Tahoma"/>
                </a:rPr>
                <a:t>Select by Employee</a:t>
              </a:r>
            </a:p>
          </xdr:txBody>
        </xdr:sp>
        <xdr:clientData/>
      </xdr:twoCellAnchor>
    </mc:Choice>
    <mc:Fallback/>
  </mc:AlternateContent>
  <mc:AlternateContent xmlns:mc="http://schemas.openxmlformats.org/markup-compatibility/2006">
    <mc:Choice xmlns:a14="http://schemas.microsoft.com/office/drawing/2010/main" Requires="a14">
      <xdr:twoCellAnchor>
        <xdr:from>
          <xdr:col>17</xdr:col>
          <xdr:colOff>9525</xdr:colOff>
          <xdr:row>10</xdr:row>
          <xdr:rowOff>0</xdr:rowOff>
        </xdr:from>
        <xdr:to>
          <xdr:col>19</xdr:col>
          <xdr:colOff>381000</xdr:colOff>
          <xdr:row>11</xdr:row>
          <xdr:rowOff>85725</xdr:rowOff>
        </xdr:to>
        <xdr:sp macro="" textlink="">
          <xdr:nvSpPr>
            <xdr:cNvPr id="1030" name="Button 6" hidden="1">
              <a:extLst>
                <a:ext uri="{63B3BB69-23CF-44E3-9099-C40C66FF867C}">
                  <a14:compatExt spid="_x0000_s103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Calibri"/>
                  <a:cs typeface="Calibri"/>
                </a:rPr>
                <a:t>Laura Giussani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11</xdr:row>
          <xdr:rowOff>171450</xdr:rowOff>
        </xdr:from>
        <xdr:to>
          <xdr:col>19</xdr:col>
          <xdr:colOff>371475</xdr:colOff>
          <xdr:row>13</xdr:row>
          <xdr:rowOff>66675</xdr:rowOff>
        </xdr:to>
        <xdr:sp macro="" textlink="">
          <xdr:nvSpPr>
            <xdr:cNvPr id="1031" name="Button 7" hidden="1">
              <a:extLst>
                <a:ext uri="{63B3BB69-23CF-44E3-9099-C40C66FF867C}">
                  <a14:compatExt spid="_x0000_s1031"/>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Calibri"/>
                  <a:cs typeface="Calibri"/>
                </a:rPr>
                <a:t>Mariya Sergienko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419100</xdr:colOff>
          <xdr:row>4</xdr:row>
          <xdr:rowOff>76200</xdr:rowOff>
        </xdr:from>
        <xdr:to>
          <xdr:col>22</xdr:col>
          <xdr:colOff>180975</xdr:colOff>
          <xdr:row>5</xdr:row>
          <xdr:rowOff>161925</xdr:rowOff>
        </xdr:to>
        <xdr:sp macro="" textlink="">
          <xdr:nvSpPr>
            <xdr:cNvPr id="1032" name="Button 8" hidden="1">
              <a:extLst>
                <a:ext uri="{63B3BB69-23CF-44E3-9099-C40C66FF867C}">
                  <a14:compatExt spid="_x0000_s1032"/>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Calibri"/>
                  <a:cs typeface="Calibri"/>
                </a:rPr>
                <a:t>Michael Neipper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438150</xdr:colOff>
          <xdr:row>6</xdr:row>
          <xdr:rowOff>57150</xdr:rowOff>
        </xdr:from>
        <xdr:to>
          <xdr:col>22</xdr:col>
          <xdr:colOff>200025</xdr:colOff>
          <xdr:row>7</xdr:row>
          <xdr:rowOff>142875</xdr:rowOff>
        </xdr:to>
        <xdr:sp macro="" textlink="">
          <xdr:nvSpPr>
            <xdr:cNvPr id="1033" name="Button 9" hidden="1">
              <a:extLst>
                <a:ext uri="{63B3BB69-23CF-44E3-9099-C40C66FF867C}">
                  <a14:compatExt spid="_x0000_s1033"/>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Calibri"/>
                  <a:cs typeface="Calibri"/>
                </a:rPr>
                <a:t>Nancy Freehafer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428625</xdr:colOff>
          <xdr:row>8</xdr:row>
          <xdr:rowOff>38100</xdr:rowOff>
        </xdr:from>
        <xdr:to>
          <xdr:col>22</xdr:col>
          <xdr:colOff>190500</xdr:colOff>
          <xdr:row>9</xdr:row>
          <xdr:rowOff>123825</xdr:rowOff>
        </xdr:to>
        <xdr:sp macro="" textlink="">
          <xdr:nvSpPr>
            <xdr:cNvPr id="1034" name="Button 10" hidden="1">
              <a:extLst>
                <a:ext uri="{63B3BB69-23CF-44E3-9099-C40C66FF867C}">
                  <a14:compatExt spid="_x0000_s1034"/>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Calibri"/>
                  <a:cs typeface="Calibri"/>
                </a:rPr>
                <a:t>Robert Zare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438150</xdr:colOff>
          <xdr:row>10</xdr:row>
          <xdr:rowOff>9525</xdr:rowOff>
        </xdr:from>
        <xdr:to>
          <xdr:col>22</xdr:col>
          <xdr:colOff>200025</xdr:colOff>
          <xdr:row>11</xdr:row>
          <xdr:rowOff>95250</xdr:rowOff>
        </xdr:to>
        <xdr:sp macro="" textlink="">
          <xdr:nvSpPr>
            <xdr:cNvPr id="1035" name="Button 11" hidden="1">
              <a:extLst>
                <a:ext uri="{63B3BB69-23CF-44E3-9099-C40C66FF867C}">
                  <a14:compatExt spid="_x0000_s1035"/>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Calibri"/>
                  <a:cs typeface="Calibri"/>
                </a:rPr>
                <a:t>Select All</a:t>
              </a:r>
            </a:p>
          </xdr:txBody>
        </xdr:sp>
        <xdr:clientData fPrintsWithSheet="0"/>
      </xdr:twoCellAnchor>
    </mc:Choice>
    <mc:Fallback/>
  </mc:AlternateContent>
  <xdr:twoCellAnchor editAs="oneCell">
    <xdr:from>
      <xdr:col>16</xdr:col>
      <xdr:colOff>295275</xdr:colOff>
      <xdr:row>14</xdr:row>
      <xdr:rowOff>161925</xdr:rowOff>
    </xdr:from>
    <xdr:to>
      <xdr:col>19</xdr:col>
      <xdr:colOff>295275</xdr:colOff>
      <xdr:row>27</xdr:row>
      <xdr:rowOff>0</xdr:rowOff>
    </xdr:to>
    <mc:AlternateContent xmlns:mc="http://schemas.openxmlformats.org/markup-compatibility/2006">
      <mc:Choice xmlns:a14="http://schemas.microsoft.com/office/drawing/2010/main" Requires="a14">
        <xdr:graphicFrame macro="">
          <xdr:nvGraphicFramePr>
            <xdr:cNvPr id="15" name="Employee"/>
            <xdr:cNvGraphicFramePr/>
          </xdr:nvGraphicFramePr>
          <xdr:xfrm>
            <a:off x="0" y="0"/>
            <a:ext cx="0" cy="0"/>
          </xdr:xfrm>
          <a:graphic>
            <a:graphicData uri="http://schemas.microsoft.com/office/drawing/2010/slicer">
              <sle:slicer xmlns:sle="http://schemas.microsoft.com/office/drawing/2010/slicer" name="Employee"/>
            </a:graphicData>
          </a:graphic>
        </xdr:graphicFrame>
      </mc:Choice>
      <mc:Fallback>
        <xdr:sp macro="" textlink="">
          <xdr:nvSpPr>
            <xdr:cNvPr id="0" name=""/>
            <xdr:cNvSpPr>
              <a:spLocks noTextEdit="1"/>
            </xdr:cNvSpPr>
          </xdr:nvSpPr>
          <xdr:spPr>
            <a:xfrm>
              <a:off x="10048875" y="282892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can be used in at least Excel 2010.
If the shape was modified in an earlier version of Excel, or if the workbook was saved in Excel 2003 or earlier, the slicer cannot be used.</a:t>
              </a:r>
            </a:p>
          </xdr:txBody>
        </xdr:sp>
      </mc:Fallback>
    </mc:AlternateContent>
    <xdr:clientData/>
  </xdr:twoCellAnchor>
  <xdr:twoCellAnchor editAs="oneCell">
    <xdr:from>
      <xdr:col>19</xdr:col>
      <xdr:colOff>381000</xdr:colOff>
      <xdr:row>15</xdr:row>
      <xdr:rowOff>9525</xdr:rowOff>
    </xdr:from>
    <xdr:to>
      <xdr:col>22</xdr:col>
      <xdr:colOff>381000</xdr:colOff>
      <xdr:row>27</xdr:row>
      <xdr:rowOff>38100</xdr:rowOff>
    </xdr:to>
    <mc:AlternateContent xmlns:mc="http://schemas.openxmlformats.org/markup-compatibility/2006">
      <mc:Choice xmlns:a14="http://schemas.microsoft.com/office/drawing/2010/main" Requires="a14">
        <xdr:graphicFrame macro="">
          <xdr:nvGraphicFramePr>
            <xdr:cNvPr id="16" name="State/Province"/>
            <xdr:cNvGraphicFramePr/>
          </xdr:nvGraphicFramePr>
          <xdr:xfrm>
            <a:off x="0" y="0"/>
            <a:ext cx="0" cy="0"/>
          </xdr:xfrm>
          <a:graphic>
            <a:graphicData uri="http://schemas.microsoft.com/office/drawing/2010/slicer">
              <sle:slicer xmlns:sle="http://schemas.microsoft.com/office/drawing/2010/slicer" name="State/Province"/>
            </a:graphicData>
          </a:graphic>
        </xdr:graphicFrame>
      </mc:Choice>
      <mc:Fallback>
        <xdr:sp macro="" textlink="">
          <xdr:nvSpPr>
            <xdr:cNvPr id="0" name=""/>
            <xdr:cNvSpPr>
              <a:spLocks noTextEdit="1"/>
            </xdr:cNvSpPr>
          </xdr:nvSpPr>
          <xdr:spPr>
            <a:xfrm>
              <a:off x="11963400" y="286702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can be used in at least Excel 2010.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4</xdr:col>
      <xdr:colOff>466725</xdr:colOff>
      <xdr:row>1</xdr:row>
      <xdr:rowOff>57150</xdr:rowOff>
    </xdr:from>
    <xdr:to>
      <xdr:col>12</xdr:col>
      <xdr:colOff>161925</xdr:colOff>
      <xdr:row>15</xdr:row>
      <xdr:rowOff>133350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4</xdr:col>
      <xdr:colOff>571500</xdr:colOff>
      <xdr:row>8</xdr:row>
      <xdr:rowOff>104775</xdr:rowOff>
    </xdr:from>
    <xdr:to>
      <xdr:col>12</xdr:col>
      <xdr:colOff>266700</xdr:colOff>
      <xdr:row>22</xdr:row>
      <xdr:rowOff>180975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2</xdr:col>
      <xdr:colOff>276225</xdr:colOff>
      <xdr:row>15</xdr:row>
      <xdr:rowOff>0</xdr:rowOff>
    </xdr:from>
    <xdr:to>
      <xdr:col>12</xdr:col>
      <xdr:colOff>628650</xdr:colOff>
      <xdr:row>29</xdr:row>
      <xdr:rowOff>76200</xdr:rowOff>
    </xdr:to>
    <xdr:graphicFrame macro="">
      <xdr:nvGraphicFramePr>
        <xdr:cNvPr id="5" name="Chart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User" refreshedDate="43138.717821296297" createdVersion="3" refreshedVersion="3" minRefreshableVersion="3" recordCount="49">
  <cacheSource type="worksheet">
    <worksheetSource name="Table_Northwind_2007.accdb"/>
  </cacheSource>
  <cacheFields count="19">
    <cacheField name="Order ID" numFmtId="0">
      <sharedItems containsSemiMixedTypes="0" containsString="0" containsNumber="1" containsInteger="1" minValue="30" maxValue="79"/>
    </cacheField>
    <cacheField name="Order Date" numFmtId="14">
      <sharedItems containsSemiMixedTypes="0" containsNonDate="0" containsDate="1" containsString="0" minDate="2006-01-15T00:00:00" maxDate="2006-06-24T00:00:00"/>
    </cacheField>
    <cacheField name="Employee" numFmtId="0">
      <sharedItems count="8">
        <s v="Anne Hellung-Larsen"/>
        <s v="Jan Kotas"/>
        <s v="Mariya Sergienko"/>
        <s v="Michael Neipper"/>
        <s v="Laura Giussani"/>
        <s v="Nancy Freehafer"/>
        <s v="Robert Zare"/>
        <s v="Andrew Cencini"/>
      </sharedItems>
    </cacheField>
    <cacheField name="Customer Name" numFmtId="0">
      <sharedItems/>
    </cacheField>
    <cacheField name="Product Name" numFmtId="0">
      <sharedItems/>
    </cacheField>
    <cacheField name="Sales" numFmtId="0">
      <sharedItems containsSemiMixedTypes="0" containsString="0" containsNumber="1" minValue="35" maxValue="13800"/>
    </cacheField>
    <cacheField name="State/Province" numFmtId="0">
      <sharedItems count="11">
        <s v="NV"/>
        <s v="NY"/>
        <s v="OR"/>
        <s v="CO"/>
        <s v="CA"/>
        <s v="WI"/>
        <s v="TN"/>
        <s v="IL"/>
        <s v="UT"/>
        <s v="FL"/>
        <s v="WA"/>
      </sharedItems>
    </cacheField>
    <cacheField name="Country/Region" numFmtId="0">
      <sharedItems count="1">
        <s v="USA"/>
      </sharedItems>
    </cacheField>
    <cacheField name="Employee ID" numFmtId="0">
      <sharedItems containsSemiMixedTypes="0" containsString="0" containsNumber="1" containsInteger="1" minValue="1" maxValue="9"/>
    </cacheField>
    <cacheField name="Product ID" numFmtId="0">
      <sharedItems containsSemiMixedTypes="0" containsString="0" containsNumber="1" containsInteger="1" minValue="1" maxValue="81"/>
    </cacheField>
    <cacheField name="Customer ID" numFmtId="0">
      <sharedItems containsSemiMixedTypes="0" containsString="0" containsNumber="1" containsInteger="1" minValue="1" maxValue="29"/>
    </cacheField>
    <cacheField name="Year" numFmtId="0">
      <sharedItems containsSemiMixedTypes="0" containsString="0" containsNumber="1" containsInteger="1" minValue="2006" maxValue="2006" count="1">
        <n v="2006"/>
      </sharedItems>
    </cacheField>
    <cacheField name="Month" numFmtId="0">
      <sharedItems containsSemiMixedTypes="0" containsString="0" containsNumber="1" containsInteger="1" minValue="1" maxValue="6" count="6">
        <n v="1"/>
        <n v="2"/>
        <n v="3"/>
        <n v="4"/>
        <n v="6"/>
        <n v="5"/>
      </sharedItems>
    </cacheField>
    <cacheField name="Quarter" numFmtId="0">
      <sharedItems containsSemiMixedTypes="0" containsString="0" containsNumber="1" containsInteger="1" minValue="1" maxValue="2"/>
    </cacheField>
    <cacheField name="Month Name" numFmtId="0">
      <sharedItems count="6">
        <s v="January"/>
        <s v="February"/>
        <s v="March"/>
        <s v="April"/>
        <s v="June"/>
        <s v="May"/>
      </sharedItems>
    </cacheField>
    <cacheField name="Category" numFmtId="0">
      <sharedItems count="14">
        <s v="Beverages"/>
        <s v="Dried Fruit &amp; Nuts"/>
        <s v="Baked Goods &amp; Mixes"/>
        <s v="Candy"/>
        <s v="Soups"/>
        <s v="Sauces"/>
        <s v="Jams, Preserves"/>
        <s v="Condiments"/>
        <s v="Canned Meat"/>
        <s v="Pasta"/>
        <s v="Dairy Products"/>
        <s v="Oil"/>
        <s v="Canned Fruit &amp; Vegetables"/>
        <s v="Grains"/>
      </sharedItems>
    </cacheField>
    <cacheField name="Product" numFmtId="0">
      <sharedItems count="23">
        <s v="Northwind Traders Beer"/>
        <s v="Northwind Traders Dried Plums"/>
        <s v="Northwind Traders Dried Pears"/>
        <s v="Northwind Traders Dried Apples"/>
        <s v="Northwind Traders Chai"/>
        <s v="Northwind Traders Coffee"/>
        <s v="Northwind Traders Chocolate Biscuits Mix"/>
        <s v="Northwind Traders Chocolate"/>
        <s v="Northwind Traders Clam Chowder"/>
        <s v="Northwind Traders Curry Sauce"/>
        <s v="Northwind Traders Green Tea"/>
        <s v="Northwind Traders Boysenberry Spread"/>
        <s v="Northwind Traders Cajun Seasoning"/>
        <s v="Northwind Traders Crab Meat"/>
        <s v="Northwind Traders Ravioli"/>
        <s v="Northwind Traders Mozzarella"/>
        <s v="Northwind Traders Scones"/>
        <s v="Northwind Traders Olive Oil"/>
        <s v="Northwind Traders Fruit Cocktail"/>
        <s v="Northwind Traders Almonds"/>
        <s v="Northwind Traders Syrup"/>
        <s v="Northwind Traders Marmalade"/>
        <s v="Northwind Traders Long Grain Rice"/>
      </sharedItems>
    </cacheField>
    <cacheField name="Customer" numFmtId="0">
      <sharedItems/>
    </cacheField>
    <cacheField name="MonthOfQuarter" numFmtId="0">
      <sharedItems containsSemiMixedTypes="0" containsString="0" containsNumber="1" containsInteger="1" minValue="0" maxValue="2"/>
    </cacheField>
  </cacheFields>
  <extLst>
    <ext xmlns:x14="http://schemas.microsoft.com/office/spreadsheetml/2009/9/main" uri="{725AE2AE-9491-48be-B2B4-4EB974FC3084}">
      <x14:pivotCacheDefinition pivotCacheId="1"/>
    </ext>
  </extLst>
</pivotCacheDefinition>
</file>

<file path=xl/pivotCache/pivotCacheRecords1.xml><?xml version="1.0" encoding="utf-8"?>
<pivotCacheRecords xmlns="http://schemas.openxmlformats.org/spreadsheetml/2006/main" xmlns:r="http://schemas.openxmlformats.org/officeDocument/2006/relationships" count="49">
  <r>
    <n v="30"/>
    <d v="2006-01-15T00:00:00"/>
    <x v="0"/>
    <s v="Company AA"/>
    <s v="Northwind Traders Beer"/>
    <n v="1400"/>
    <x v="0"/>
    <x v="0"/>
    <n v="9"/>
    <n v="34"/>
    <n v="27"/>
    <x v="0"/>
    <x v="0"/>
    <n v="1"/>
    <x v="0"/>
    <x v="0"/>
    <x v="0"/>
    <s v="Company AA"/>
    <n v="1"/>
  </r>
  <r>
    <n v="30"/>
    <d v="2006-01-15T00:00:00"/>
    <x v="0"/>
    <s v="Company AA"/>
    <s v="Northwind Traders Dried Plums"/>
    <n v="105"/>
    <x v="0"/>
    <x v="0"/>
    <n v="9"/>
    <n v="80"/>
    <n v="27"/>
    <x v="0"/>
    <x v="0"/>
    <n v="1"/>
    <x v="0"/>
    <x v="1"/>
    <x v="1"/>
    <s v="Company AA"/>
    <n v="1"/>
  </r>
  <r>
    <n v="31"/>
    <d v="2006-01-20T00:00:00"/>
    <x v="1"/>
    <s v="Company D"/>
    <s v="Northwind Traders Dried Pears"/>
    <n v="300"/>
    <x v="1"/>
    <x v="0"/>
    <n v="3"/>
    <n v="7"/>
    <n v="4"/>
    <x v="0"/>
    <x v="0"/>
    <n v="1"/>
    <x v="0"/>
    <x v="1"/>
    <x v="2"/>
    <s v="Company D"/>
    <n v="1"/>
  </r>
  <r>
    <n v="31"/>
    <d v="2006-01-20T00:00:00"/>
    <x v="1"/>
    <s v="Company D"/>
    <s v="Northwind Traders Dried Apples"/>
    <n v="530"/>
    <x v="1"/>
    <x v="0"/>
    <n v="3"/>
    <n v="51"/>
    <n v="4"/>
    <x v="0"/>
    <x v="0"/>
    <n v="1"/>
    <x v="0"/>
    <x v="1"/>
    <x v="3"/>
    <s v="Company D"/>
    <n v="1"/>
  </r>
  <r>
    <n v="31"/>
    <d v="2006-01-20T00:00:00"/>
    <x v="1"/>
    <s v="Company D"/>
    <s v="Northwind Traders Dried Plums"/>
    <n v="35"/>
    <x v="1"/>
    <x v="0"/>
    <n v="3"/>
    <n v="80"/>
    <n v="4"/>
    <x v="0"/>
    <x v="0"/>
    <n v="1"/>
    <x v="0"/>
    <x v="1"/>
    <x v="1"/>
    <s v="Company D"/>
    <n v="1"/>
  </r>
  <r>
    <n v="32"/>
    <d v="2006-01-22T00:00:00"/>
    <x v="2"/>
    <s v="Company L"/>
    <s v="Northwind Traders Chai"/>
    <n v="270"/>
    <x v="0"/>
    <x v="0"/>
    <n v="4"/>
    <n v="1"/>
    <n v="12"/>
    <x v="0"/>
    <x v="0"/>
    <n v="1"/>
    <x v="0"/>
    <x v="0"/>
    <x v="4"/>
    <s v="Company L"/>
    <n v="1"/>
  </r>
  <r>
    <n v="32"/>
    <d v="2006-01-22T00:00:00"/>
    <x v="2"/>
    <s v="Company L"/>
    <s v="Northwind Traders Coffee"/>
    <n v="920"/>
    <x v="0"/>
    <x v="0"/>
    <n v="4"/>
    <n v="43"/>
    <n v="12"/>
    <x v="0"/>
    <x v="0"/>
    <n v="1"/>
    <x v="0"/>
    <x v="0"/>
    <x v="5"/>
    <s v="Company L"/>
    <n v="1"/>
  </r>
  <r>
    <n v="33"/>
    <d v="2006-01-30T00:00:00"/>
    <x v="3"/>
    <s v="Company H"/>
    <s v="Northwind Traders Chocolate Biscuits Mix"/>
    <n v="276"/>
    <x v="2"/>
    <x v="0"/>
    <n v="6"/>
    <n v="19"/>
    <n v="8"/>
    <x v="0"/>
    <x v="0"/>
    <n v="1"/>
    <x v="0"/>
    <x v="2"/>
    <x v="6"/>
    <s v="Company H"/>
    <n v="1"/>
  </r>
  <r>
    <n v="34"/>
    <d v="2006-02-06T00:00:00"/>
    <x v="0"/>
    <s v="Company D"/>
    <s v="Northwind Traders Chocolate Biscuits Mix"/>
    <n v="184"/>
    <x v="1"/>
    <x v="0"/>
    <n v="9"/>
    <n v="19"/>
    <n v="4"/>
    <x v="0"/>
    <x v="1"/>
    <n v="1"/>
    <x v="1"/>
    <x v="2"/>
    <x v="6"/>
    <s v="Company D"/>
    <n v="2"/>
  </r>
  <r>
    <n v="35"/>
    <d v="2006-02-10T00:00:00"/>
    <x v="1"/>
    <s v="Company CC"/>
    <s v="Northwind Traders Chocolate"/>
    <n v="127.5"/>
    <x v="3"/>
    <x v="0"/>
    <n v="3"/>
    <n v="48"/>
    <n v="29"/>
    <x v="0"/>
    <x v="1"/>
    <n v="1"/>
    <x v="1"/>
    <x v="3"/>
    <x v="7"/>
    <s v="Company CC"/>
    <n v="2"/>
  </r>
  <r>
    <n v="36"/>
    <d v="2006-02-23T00:00:00"/>
    <x v="2"/>
    <s v="Company C"/>
    <s v="Northwind Traders Clam Chowder"/>
    <n v="1930"/>
    <x v="4"/>
    <x v="0"/>
    <n v="4"/>
    <n v="41"/>
    <n v="3"/>
    <x v="0"/>
    <x v="1"/>
    <n v="1"/>
    <x v="1"/>
    <x v="4"/>
    <x v="8"/>
    <s v="Company C"/>
    <n v="2"/>
  </r>
  <r>
    <n v="37"/>
    <d v="2006-03-06T00:00:00"/>
    <x v="4"/>
    <s v="Company F"/>
    <s v="Northwind Traders Curry Sauce"/>
    <n v="680"/>
    <x v="5"/>
    <x v="0"/>
    <n v="8"/>
    <n v="8"/>
    <n v="6"/>
    <x v="0"/>
    <x v="2"/>
    <n v="1"/>
    <x v="2"/>
    <x v="5"/>
    <x v="9"/>
    <s v="Company F"/>
    <n v="0"/>
  </r>
  <r>
    <n v="38"/>
    <d v="2006-03-10T00:00:00"/>
    <x v="0"/>
    <s v="Company BB"/>
    <s v="Northwind Traders Coffee"/>
    <n v="13800"/>
    <x v="6"/>
    <x v="0"/>
    <n v="9"/>
    <n v="43"/>
    <n v="28"/>
    <x v="0"/>
    <x v="2"/>
    <n v="1"/>
    <x v="2"/>
    <x v="0"/>
    <x v="5"/>
    <s v="Company BB"/>
    <n v="0"/>
  </r>
  <r>
    <n v="39"/>
    <d v="2006-03-22T00:00:00"/>
    <x v="1"/>
    <s v="Company H"/>
    <s v="Northwind Traders Chocolate"/>
    <n v="1275"/>
    <x v="2"/>
    <x v="0"/>
    <n v="3"/>
    <n v="48"/>
    <n v="8"/>
    <x v="0"/>
    <x v="2"/>
    <n v="1"/>
    <x v="2"/>
    <x v="3"/>
    <x v="7"/>
    <s v="Company H"/>
    <n v="0"/>
  </r>
  <r>
    <n v="40"/>
    <d v="2006-03-24T00:00:00"/>
    <x v="2"/>
    <s v="Company J"/>
    <s v="Northwind Traders Green Tea"/>
    <n v="598"/>
    <x v="7"/>
    <x v="0"/>
    <n v="4"/>
    <n v="81"/>
    <n v="10"/>
    <x v="0"/>
    <x v="2"/>
    <n v="1"/>
    <x v="2"/>
    <x v="0"/>
    <x v="10"/>
    <s v="Company J"/>
    <n v="0"/>
  </r>
  <r>
    <n v="42"/>
    <d v="2006-03-24T00:00:00"/>
    <x v="5"/>
    <s v="Company J"/>
    <s v="Northwind Traders Boysenberry Spread"/>
    <n v="250"/>
    <x v="7"/>
    <x v="0"/>
    <n v="1"/>
    <n v="6"/>
    <n v="10"/>
    <x v="0"/>
    <x v="2"/>
    <n v="1"/>
    <x v="2"/>
    <x v="6"/>
    <x v="11"/>
    <s v="Company J"/>
    <n v="0"/>
  </r>
  <r>
    <n v="42"/>
    <d v="2006-03-24T00:00:00"/>
    <x v="5"/>
    <s v="Company J"/>
    <s v="Northwind Traders Cajun Seasoning"/>
    <n v="220"/>
    <x v="7"/>
    <x v="0"/>
    <n v="1"/>
    <n v="4"/>
    <n v="10"/>
    <x v="0"/>
    <x v="2"/>
    <n v="1"/>
    <x v="2"/>
    <x v="7"/>
    <x v="12"/>
    <s v="Company J"/>
    <n v="0"/>
  </r>
  <r>
    <n v="42"/>
    <d v="2006-03-24T00:00:00"/>
    <x v="5"/>
    <s v="Company J"/>
    <s v="Northwind Traders Chocolate Biscuits Mix"/>
    <n v="92"/>
    <x v="7"/>
    <x v="0"/>
    <n v="1"/>
    <n v="19"/>
    <n v="10"/>
    <x v="0"/>
    <x v="2"/>
    <n v="1"/>
    <x v="2"/>
    <x v="2"/>
    <x v="6"/>
    <s v="Company J"/>
    <n v="0"/>
  </r>
  <r>
    <n v="45"/>
    <d v="2006-04-07T00:00:00"/>
    <x v="5"/>
    <s v="Company BB"/>
    <s v="Northwind Traders Clam Chowder"/>
    <n v="482.5"/>
    <x v="6"/>
    <x v="0"/>
    <n v="1"/>
    <n v="41"/>
    <n v="28"/>
    <x v="0"/>
    <x v="3"/>
    <n v="2"/>
    <x v="3"/>
    <x v="4"/>
    <x v="8"/>
    <s v="Company BB"/>
    <n v="1"/>
  </r>
  <r>
    <n v="45"/>
    <d v="2006-04-07T00:00:00"/>
    <x v="5"/>
    <s v="Company BB"/>
    <s v="Northwind Traders Crab Meat"/>
    <n v="920"/>
    <x v="6"/>
    <x v="0"/>
    <n v="1"/>
    <n v="40"/>
    <n v="28"/>
    <x v="0"/>
    <x v="3"/>
    <n v="2"/>
    <x v="3"/>
    <x v="8"/>
    <x v="13"/>
    <s v="Company BB"/>
    <n v="1"/>
  </r>
  <r>
    <n v="46"/>
    <d v="2006-04-05T00:00:00"/>
    <x v="6"/>
    <s v="Company I"/>
    <s v="Northwind Traders Ravioli"/>
    <n v="1950"/>
    <x v="8"/>
    <x v="0"/>
    <n v="7"/>
    <n v="57"/>
    <n v="9"/>
    <x v="0"/>
    <x v="3"/>
    <n v="2"/>
    <x v="3"/>
    <x v="9"/>
    <x v="14"/>
    <s v="Company I"/>
    <n v="1"/>
  </r>
  <r>
    <n v="46"/>
    <d v="2006-04-05T00:00:00"/>
    <x v="6"/>
    <s v="Company I"/>
    <s v="Northwind Traders Mozzarella"/>
    <n v="1740"/>
    <x v="8"/>
    <x v="0"/>
    <n v="7"/>
    <n v="72"/>
    <n v="9"/>
    <x v="0"/>
    <x v="3"/>
    <n v="2"/>
    <x v="3"/>
    <x v="10"/>
    <x v="15"/>
    <s v="Company I"/>
    <n v="1"/>
  </r>
  <r>
    <n v="47"/>
    <d v="2006-04-08T00:00:00"/>
    <x v="3"/>
    <s v="Company F"/>
    <s v="Northwind Traders Beer"/>
    <n v="4200"/>
    <x v="5"/>
    <x v="0"/>
    <n v="6"/>
    <n v="34"/>
    <n v="6"/>
    <x v="0"/>
    <x v="3"/>
    <n v="2"/>
    <x v="3"/>
    <x v="0"/>
    <x v="0"/>
    <s v="Company F"/>
    <n v="1"/>
  </r>
  <r>
    <n v="48"/>
    <d v="2006-04-05T00:00:00"/>
    <x v="2"/>
    <s v="Company H"/>
    <s v="Northwind Traders Curry Sauce"/>
    <n v="1000"/>
    <x v="2"/>
    <x v="0"/>
    <n v="4"/>
    <n v="8"/>
    <n v="8"/>
    <x v="0"/>
    <x v="3"/>
    <n v="2"/>
    <x v="3"/>
    <x v="5"/>
    <x v="9"/>
    <s v="Company H"/>
    <n v="1"/>
  </r>
  <r>
    <n v="48"/>
    <d v="2006-04-05T00:00:00"/>
    <x v="2"/>
    <s v="Company H"/>
    <s v="Northwind Traders Chocolate Biscuits Mix"/>
    <n v="230"/>
    <x v="2"/>
    <x v="0"/>
    <n v="4"/>
    <n v="19"/>
    <n v="8"/>
    <x v="0"/>
    <x v="3"/>
    <n v="2"/>
    <x v="3"/>
    <x v="2"/>
    <x v="6"/>
    <s v="Company H"/>
    <n v="1"/>
  </r>
  <r>
    <n v="50"/>
    <d v="2006-04-05T00:00:00"/>
    <x v="0"/>
    <s v="Company Y"/>
    <s v="Northwind Traders Scones"/>
    <n v="200"/>
    <x v="7"/>
    <x v="0"/>
    <n v="9"/>
    <n v="21"/>
    <n v="25"/>
    <x v="0"/>
    <x v="3"/>
    <n v="2"/>
    <x v="3"/>
    <x v="2"/>
    <x v="16"/>
    <s v="Company Y"/>
    <n v="1"/>
  </r>
  <r>
    <n v="51"/>
    <d v="2006-04-05T00:00:00"/>
    <x v="0"/>
    <s v="Company Z"/>
    <s v="Northwind Traders Olive Oil"/>
    <n v="533.75"/>
    <x v="9"/>
    <x v="0"/>
    <n v="9"/>
    <n v="5"/>
    <n v="26"/>
    <x v="0"/>
    <x v="3"/>
    <n v="2"/>
    <x v="3"/>
    <x v="11"/>
    <x v="17"/>
    <s v="Company Z"/>
    <n v="1"/>
  </r>
  <r>
    <n v="51"/>
    <d v="2006-04-05T00:00:00"/>
    <x v="0"/>
    <s v="Company Z"/>
    <s v="Northwind Traders Clam Chowder"/>
    <n v="289.5"/>
    <x v="9"/>
    <x v="0"/>
    <n v="9"/>
    <n v="41"/>
    <n v="26"/>
    <x v="0"/>
    <x v="3"/>
    <n v="2"/>
    <x v="3"/>
    <x v="4"/>
    <x v="8"/>
    <s v="Company Z"/>
    <n v="1"/>
  </r>
  <r>
    <n v="51"/>
    <d v="2006-04-05T00:00:00"/>
    <x v="0"/>
    <s v="Company Z"/>
    <s v="Northwind Traders Crab Meat"/>
    <n v="552"/>
    <x v="9"/>
    <x v="0"/>
    <n v="9"/>
    <n v="40"/>
    <n v="26"/>
    <x v="0"/>
    <x v="3"/>
    <n v="2"/>
    <x v="3"/>
    <x v="8"/>
    <x v="13"/>
    <s v="Company Z"/>
    <n v="1"/>
  </r>
  <r>
    <n v="56"/>
    <d v="2006-04-03T00:00:00"/>
    <x v="7"/>
    <s v="Company F"/>
    <s v="Northwind Traders Chocolate"/>
    <n v="127.5"/>
    <x v="5"/>
    <x v="0"/>
    <n v="2"/>
    <n v="48"/>
    <n v="6"/>
    <x v="0"/>
    <x v="3"/>
    <n v="2"/>
    <x v="3"/>
    <x v="3"/>
    <x v="7"/>
    <s v="Company F"/>
    <n v="1"/>
  </r>
  <r>
    <n v="55"/>
    <d v="2006-04-05T00:00:00"/>
    <x v="5"/>
    <s v="Company CC"/>
    <s v="Northwind Traders Beer"/>
    <n v="1218"/>
    <x v="3"/>
    <x v="0"/>
    <n v="1"/>
    <n v="34"/>
    <n v="29"/>
    <x v="0"/>
    <x v="3"/>
    <n v="2"/>
    <x v="3"/>
    <x v="0"/>
    <x v="0"/>
    <s v="Company CC"/>
    <n v="1"/>
  </r>
  <r>
    <n v="79"/>
    <d v="2006-06-23T00:00:00"/>
    <x v="7"/>
    <s v="Company F"/>
    <s v="Northwind Traders Dried Pears"/>
    <n v="900"/>
    <x v="5"/>
    <x v="0"/>
    <n v="2"/>
    <n v="7"/>
    <n v="6"/>
    <x v="0"/>
    <x v="4"/>
    <n v="2"/>
    <x v="4"/>
    <x v="1"/>
    <x v="2"/>
    <s v="Company F"/>
    <n v="0"/>
  </r>
  <r>
    <n v="79"/>
    <d v="2006-06-23T00:00:00"/>
    <x v="7"/>
    <s v="Company F"/>
    <s v="Northwind Traders Dried Apples"/>
    <n v="1590"/>
    <x v="5"/>
    <x v="0"/>
    <n v="2"/>
    <n v="51"/>
    <n v="6"/>
    <x v="0"/>
    <x v="4"/>
    <n v="2"/>
    <x v="4"/>
    <x v="1"/>
    <x v="3"/>
    <s v="Company F"/>
    <n v="0"/>
  </r>
  <r>
    <n v="78"/>
    <d v="2006-06-05T00:00:00"/>
    <x v="5"/>
    <s v="Company CC"/>
    <s v="Northwind Traders Fruit Cocktail"/>
    <n v="1560"/>
    <x v="3"/>
    <x v="0"/>
    <n v="1"/>
    <n v="17"/>
    <n v="29"/>
    <x v="0"/>
    <x v="4"/>
    <n v="2"/>
    <x v="4"/>
    <x v="12"/>
    <x v="18"/>
    <s v="Company CC"/>
    <n v="0"/>
  </r>
  <r>
    <n v="77"/>
    <d v="2006-06-05T00:00:00"/>
    <x v="0"/>
    <s v="Company Z"/>
    <s v="Northwind Traders Boysenberry Spread"/>
    <n v="2250"/>
    <x v="9"/>
    <x v="0"/>
    <n v="9"/>
    <n v="6"/>
    <n v="26"/>
    <x v="0"/>
    <x v="4"/>
    <n v="2"/>
    <x v="4"/>
    <x v="6"/>
    <x v="11"/>
    <s v="Company Z"/>
    <n v="0"/>
  </r>
  <r>
    <n v="76"/>
    <d v="2006-06-05T00:00:00"/>
    <x v="0"/>
    <s v="Company Y"/>
    <s v="Northwind Traders Cajun Seasoning"/>
    <n v="660"/>
    <x v="7"/>
    <x v="0"/>
    <n v="9"/>
    <n v="4"/>
    <n v="25"/>
    <x v="0"/>
    <x v="4"/>
    <n v="2"/>
    <x v="4"/>
    <x v="7"/>
    <x v="12"/>
    <s v="Company Y"/>
    <n v="0"/>
  </r>
  <r>
    <n v="75"/>
    <d v="2006-06-05T00:00:00"/>
    <x v="2"/>
    <s v="Company H"/>
    <s v="Northwind Traders Chocolate"/>
    <n v="510"/>
    <x v="2"/>
    <x v="0"/>
    <n v="4"/>
    <n v="48"/>
    <n v="8"/>
    <x v="0"/>
    <x v="4"/>
    <n v="2"/>
    <x v="4"/>
    <x v="3"/>
    <x v="7"/>
    <s v="Company H"/>
    <n v="0"/>
  </r>
  <r>
    <n v="74"/>
    <d v="2006-06-08T00:00:00"/>
    <x v="3"/>
    <s v="Company F"/>
    <s v="Northwind Traders Chocolate"/>
    <n v="510"/>
    <x v="5"/>
    <x v="0"/>
    <n v="6"/>
    <n v="48"/>
    <n v="6"/>
    <x v="0"/>
    <x v="4"/>
    <n v="2"/>
    <x v="4"/>
    <x v="3"/>
    <x v="7"/>
    <s v="Company F"/>
    <n v="0"/>
  </r>
  <r>
    <n v="73"/>
    <d v="2006-06-05T00:00:00"/>
    <x v="6"/>
    <s v="Company I"/>
    <s v="Northwind Traders Clam Chowder"/>
    <n v="96.5"/>
    <x v="8"/>
    <x v="0"/>
    <n v="7"/>
    <n v="41"/>
    <n v="9"/>
    <x v="0"/>
    <x v="4"/>
    <n v="2"/>
    <x v="4"/>
    <x v="4"/>
    <x v="8"/>
    <s v="Company I"/>
    <n v="0"/>
  </r>
  <r>
    <n v="72"/>
    <d v="2006-06-07T00:00:00"/>
    <x v="5"/>
    <s v="Company BB"/>
    <s v="Northwind Traders Coffee"/>
    <n v="230"/>
    <x v="6"/>
    <x v="0"/>
    <n v="1"/>
    <n v="43"/>
    <n v="28"/>
    <x v="0"/>
    <x v="4"/>
    <n v="2"/>
    <x v="4"/>
    <x v="0"/>
    <x v="5"/>
    <s v="Company BB"/>
    <n v="0"/>
  </r>
  <r>
    <n v="71"/>
    <d v="2006-05-24T00:00:00"/>
    <x v="5"/>
    <s v="Company A"/>
    <s v="Northwind Traders Crab Meat"/>
    <n v="736"/>
    <x v="10"/>
    <x v="0"/>
    <n v="1"/>
    <n v="40"/>
    <n v="1"/>
    <x v="0"/>
    <x v="5"/>
    <n v="2"/>
    <x v="5"/>
    <x v="8"/>
    <x v="13"/>
    <s v="Company A"/>
    <n v="2"/>
  </r>
  <r>
    <n v="70"/>
    <d v="2006-05-24T00:00:00"/>
    <x v="5"/>
    <s v="Company K"/>
    <s v="Northwind Traders Curry Sauce"/>
    <n v="800"/>
    <x v="9"/>
    <x v="0"/>
    <n v="1"/>
    <n v="8"/>
    <n v="11"/>
    <x v="0"/>
    <x v="5"/>
    <n v="2"/>
    <x v="5"/>
    <x v="5"/>
    <x v="9"/>
    <s v="Company K"/>
    <n v="2"/>
  </r>
  <r>
    <n v="69"/>
    <d v="2006-05-24T00:00:00"/>
    <x v="5"/>
    <s v="Company J"/>
    <s v="Northwind Traders Dried Plums"/>
    <n v="52.5"/>
    <x v="7"/>
    <x v="0"/>
    <n v="1"/>
    <n v="80"/>
    <n v="10"/>
    <x v="0"/>
    <x v="5"/>
    <n v="2"/>
    <x v="5"/>
    <x v="1"/>
    <x v="1"/>
    <s v="Company J"/>
    <n v="2"/>
  </r>
  <r>
    <n v="67"/>
    <d v="2006-05-24T00:00:00"/>
    <x v="2"/>
    <s v="Company J"/>
    <s v="Northwind Traders Almonds"/>
    <n v="200"/>
    <x v="7"/>
    <x v="0"/>
    <n v="4"/>
    <n v="74"/>
    <n v="10"/>
    <x v="0"/>
    <x v="5"/>
    <n v="2"/>
    <x v="5"/>
    <x v="1"/>
    <x v="19"/>
    <s v="Company J"/>
    <n v="2"/>
  </r>
  <r>
    <n v="60"/>
    <d v="2006-04-30T00:00:00"/>
    <x v="3"/>
    <s v="Company H"/>
    <s v="Northwind Traders Mozzarella"/>
    <n v="1392"/>
    <x v="2"/>
    <x v="0"/>
    <n v="6"/>
    <n v="72"/>
    <n v="8"/>
    <x v="0"/>
    <x v="3"/>
    <n v="2"/>
    <x v="3"/>
    <x v="10"/>
    <x v="15"/>
    <s v="Company H"/>
    <n v="1"/>
  </r>
  <r>
    <n v="63"/>
    <d v="2006-04-25T00:00:00"/>
    <x v="2"/>
    <s v="Company C"/>
    <s v="Northwind Traders Syrup"/>
    <n v="500"/>
    <x v="4"/>
    <x v="0"/>
    <n v="4"/>
    <n v="3"/>
    <n v="3"/>
    <x v="0"/>
    <x v="3"/>
    <n v="2"/>
    <x v="3"/>
    <x v="7"/>
    <x v="20"/>
    <s v="Company C"/>
    <n v="1"/>
  </r>
  <r>
    <n v="63"/>
    <d v="2006-04-25T00:00:00"/>
    <x v="2"/>
    <s v="Company C"/>
    <s v="Northwind Traders Curry Sauce"/>
    <n v="120"/>
    <x v="4"/>
    <x v="0"/>
    <n v="4"/>
    <n v="8"/>
    <n v="3"/>
    <x v="0"/>
    <x v="3"/>
    <n v="2"/>
    <x v="3"/>
    <x v="5"/>
    <x v="9"/>
    <s v="Company C"/>
    <n v="1"/>
  </r>
  <r>
    <n v="58"/>
    <d v="2006-04-22T00:00:00"/>
    <x v="1"/>
    <s v="Company D"/>
    <s v="Northwind Traders Marmalade"/>
    <n v="3240"/>
    <x v="1"/>
    <x v="0"/>
    <n v="3"/>
    <n v="20"/>
    <n v="4"/>
    <x v="0"/>
    <x v="3"/>
    <n v="2"/>
    <x v="3"/>
    <x v="6"/>
    <x v="21"/>
    <s v="Company D"/>
    <n v="1"/>
  </r>
  <r>
    <n v="58"/>
    <d v="2006-04-22T00:00:00"/>
    <x v="1"/>
    <s v="Company D"/>
    <s v="Northwind Traders Long Grain Rice"/>
    <n v="280"/>
    <x v="1"/>
    <x v="0"/>
    <n v="3"/>
    <n v="52"/>
    <n v="4"/>
    <x v="0"/>
    <x v="3"/>
    <n v="2"/>
    <x v="3"/>
    <x v="13"/>
    <x v="22"/>
    <s v="Company D"/>
    <n v="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10" cacheId="0" applyNumberFormats="0" applyBorderFormats="0" applyFontFormats="0" applyPatternFormats="0" applyAlignmentFormats="0" applyWidthHeightFormats="1" dataCaption="Values" updatedVersion="4" minRefreshableVersion="3" showCalcMbrs="0" useAutoFormatting="1" itemPrintTitles="1" createdVersion="3" indent="0" outline="1" outlineData="1" multipleFieldFilters="0" chartFormat="3">
  <location ref="A4:B19" firstHeaderRow="1" firstDataRow="1" firstDataCol="1" rowPageCount="2" colPageCount="1"/>
  <pivotFields count="19">
    <pivotField showAll="0"/>
    <pivotField numFmtId="14" showAll="0"/>
    <pivotField axis="axisPage" showAll="0">
      <items count="9">
        <item x="7"/>
        <item x="0"/>
        <item x="1"/>
        <item x="4"/>
        <item x="2"/>
        <item x="3"/>
        <item x="5"/>
        <item x="6"/>
        <item t="default"/>
      </items>
    </pivotField>
    <pivotField showAll="0"/>
    <pivotField showAll="0"/>
    <pivotField dataField="1" showAll="0"/>
    <pivotField axis="axisPage" showAll="0">
      <items count="12">
        <item x="4"/>
        <item x="3"/>
        <item x="9"/>
        <item x="7"/>
        <item x="0"/>
        <item x="1"/>
        <item x="2"/>
        <item x="6"/>
        <item x="8"/>
        <item x="10"/>
        <item x="5"/>
        <item t="default"/>
      </items>
    </pivotField>
    <pivotField showAll="0"/>
    <pivotField showAll="0"/>
    <pivotField showAll="0"/>
    <pivotField showAll="0"/>
    <pivotField showAll="0"/>
    <pivotField showAll="0" sortType="ascending">
      <items count="7">
        <item x="0"/>
        <item x="1"/>
        <item x="2"/>
        <item x="3"/>
        <item x="5"/>
        <item x="4"/>
        <item t="default"/>
      </items>
    </pivotField>
    <pivotField showAll="0"/>
    <pivotField showAll="0"/>
    <pivotField axis="axisRow" showAll="0">
      <items count="15">
        <item x="2"/>
        <item x="0"/>
        <item x="3"/>
        <item x="12"/>
        <item x="8"/>
        <item x="7"/>
        <item x="10"/>
        <item x="1"/>
        <item x="13"/>
        <item x="6"/>
        <item x="11"/>
        <item x="9"/>
        <item x="5"/>
        <item x="4"/>
        <item t="default"/>
      </items>
    </pivotField>
    <pivotField showAll="0" defaultSubtotal="0">
      <items count="23">
        <item x="19"/>
        <item x="0"/>
        <item x="11"/>
        <item x="12"/>
        <item x="4"/>
        <item x="7"/>
        <item x="6"/>
        <item x="8"/>
        <item x="5"/>
        <item x="13"/>
        <item x="9"/>
        <item x="3"/>
        <item x="2"/>
        <item x="1"/>
        <item x="18"/>
        <item x="10"/>
        <item x="22"/>
        <item x="21"/>
        <item x="15"/>
        <item x="17"/>
        <item x="14"/>
        <item x="16"/>
        <item x="20"/>
      </items>
    </pivotField>
    <pivotField showAll="0"/>
    <pivotField showAll="0"/>
  </pivotFields>
  <rowFields count="1">
    <field x="15"/>
  </rowFields>
  <rowItems count="15">
    <i>
      <x/>
    </i>
    <i>
      <x v="1"/>
    </i>
    <i>
      <x v="2"/>
    </i>
    <i>
      <x v="3"/>
    </i>
    <i>
      <x v="4"/>
    </i>
    <i>
      <x v="5"/>
    </i>
    <i>
      <x v="6"/>
    </i>
    <i>
      <x v="7"/>
    </i>
    <i>
      <x v="8"/>
    </i>
    <i>
      <x v="9"/>
    </i>
    <i>
      <x v="10"/>
    </i>
    <i>
      <x v="11"/>
    </i>
    <i>
      <x v="12"/>
    </i>
    <i>
      <x v="13"/>
    </i>
    <i t="grand">
      <x/>
    </i>
  </rowItems>
  <colItems count="1">
    <i/>
  </colItems>
  <pageFields count="2">
    <pageField fld="2" hier="-1"/>
    <pageField fld="6" hier="-1"/>
  </pageFields>
  <dataFields count="1">
    <dataField name="Sum of Sales" fld="5" baseField="0" baseItem="0"/>
  </dataFields>
  <chartFormats count="2">
    <chartFormat chart="0" format="5" series="1">
      <pivotArea type="data" outline="0" fieldPosition="0">
        <references count="1">
          <reference field="4294967294" count="1" selected="0">
            <x v="0"/>
          </reference>
        </references>
      </pivotArea>
    </chartFormat>
    <chartFormat chart="2"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pivotTableDefinition>
</file>

<file path=xl/pivotTables/pivotTable2.xml><?xml version="1.0" encoding="utf-8"?>
<pivotTableDefinition xmlns="http://schemas.openxmlformats.org/spreadsheetml/2006/main" name="PivotTable11" cacheId="0" applyNumberFormats="0" applyBorderFormats="0" applyFontFormats="0" applyPatternFormats="0" applyAlignmentFormats="0" applyWidthHeightFormats="1" dataCaption="Values" updatedVersion="4" minRefreshableVersion="3" showCalcMbrs="0" useAutoFormatting="1" itemPrintTitles="1" createdVersion="3" indent="0" outline="1" outlineData="1" multipleFieldFilters="0" chartFormat="6">
  <location ref="A4:B11" firstHeaderRow="1" firstDataRow="1" firstDataCol="1" rowPageCount="2" colPageCount="1"/>
  <pivotFields count="19">
    <pivotField showAll="0"/>
    <pivotField numFmtId="14" showAll="0"/>
    <pivotField axis="axisPage" showAll="0">
      <items count="9">
        <item x="7"/>
        <item x="0"/>
        <item x="1"/>
        <item x="4"/>
        <item x="2"/>
        <item x="3"/>
        <item x="5"/>
        <item x="6"/>
        <item t="default"/>
      </items>
    </pivotField>
    <pivotField showAll="0"/>
    <pivotField showAll="0"/>
    <pivotField dataField="1" showAll="0"/>
    <pivotField axis="axisPage" showAll="0">
      <items count="12">
        <item x="4"/>
        <item x="3"/>
        <item x="9"/>
        <item x="7"/>
        <item x="0"/>
        <item x="1"/>
        <item x="2"/>
        <item x="6"/>
        <item x="8"/>
        <item x="10"/>
        <item x="5"/>
        <item t="default"/>
      </items>
    </pivotField>
    <pivotField showAll="0"/>
    <pivotField showAll="0"/>
    <pivotField showAll="0"/>
    <pivotField showAll="0"/>
    <pivotField showAll="0">
      <items count="2">
        <item x="0"/>
        <item t="default"/>
      </items>
    </pivotField>
    <pivotField showAll="0">
      <items count="7">
        <item x="0"/>
        <item x="1"/>
        <item x="2"/>
        <item x="3"/>
        <item x="5"/>
        <item x="4"/>
        <item t="default"/>
      </items>
    </pivotField>
    <pivotField showAll="0"/>
    <pivotField axis="axisRow" showAll="0">
      <items count="7">
        <item x="0"/>
        <item x="1"/>
        <item x="2"/>
        <item x="3"/>
        <item x="5"/>
        <item x="4"/>
        <item t="default"/>
      </items>
    </pivotField>
    <pivotField showAll="0"/>
    <pivotField showAll="0"/>
    <pivotField showAll="0"/>
    <pivotField showAll="0"/>
  </pivotFields>
  <rowFields count="1">
    <field x="14"/>
  </rowFields>
  <rowItems count="7">
    <i>
      <x/>
    </i>
    <i>
      <x v="1"/>
    </i>
    <i>
      <x v="2"/>
    </i>
    <i>
      <x v="3"/>
    </i>
    <i>
      <x v="4"/>
    </i>
    <i>
      <x v="5"/>
    </i>
    <i t="grand">
      <x/>
    </i>
  </rowItems>
  <colItems count="1">
    <i/>
  </colItems>
  <pageFields count="2">
    <pageField fld="6" hier="-1"/>
    <pageField fld="2" hier="-1"/>
  </pageFields>
  <dataFields count="1">
    <dataField name="Sum of Sales" fld="5" baseField="0" baseItem="0"/>
  </dataFields>
  <chartFormats count="2">
    <chartFormat chart="0" format="0" series="1">
      <pivotArea type="data" outline="0" fieldPosition="0">
        <references count="1">
          <reference field="4294967294" count="1" selected="0">
            <x v="0"/>
          </reference>
        </references>
      </pivotArea>
    </chartFormat>
    <chartFormat chart="5"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pivotTableDefinition>
</file>

<file path=xl/pivotTables/pivotTable3.xml><?xml version="1.0" encoding="utf-8"?>
<pivotTableDefinition xmlns="http://schemas.openxmlformats.org/spreadsheetml/2006/main" name="PivotTable12" cacheId="0" applyNumberFormats="0" applyBorderFormats="0" applyFontFormats="0" applyPatternFormats="0" applyAlignmentFormats="0" applyWidthHeightFormats="1" dataCaption="Values" updatedVersion="4" minRefreshableVersion="3" showCalcMbrs="0" useAutoFormatting="1" itemPrintTitles="1" createdVersion="3" indent="0" outline="1" outlineData="1" multipleFieldFilters="0" chartFormat="6">
  <location ref="A3:M13" firstHeaderRow="1" firstDataRow="2" firstDataCol="1"/>
  <pivotFields count="19">
    <pivotField showAll="0"/>
    <pivotField numFmtId="14" showAll="0"/>
    <pivotField axis="axisRow" showAll="0">
      <items count="9">
        <item x="7"/>
        <item x="0"/>
        <item x="1"/>
        <item x="4"/>
        <item x="2"/>
        <item x="3"/>
        <item x="5"/>
        <item x="6"/>
        <item t="default"/>
      </items>
    </pivotField>
    <pivotField showAll="0"/>
    <pivotField showAll="0"/>
    <pivotField dataField="1" showAll="0"/>
    <pivotField axis="axisCol" showAll="0">
      <items count="12">
        <item x="4"/>
        <item x="3"/>
        <item x="9"/>
        <item x="7"/>
        <item x="0"/>
        <item x="1"/>
        <item x="2"/>
        <item x="6"/>
        <item x="8"/>
        <item x="10"/>
        <item x="5"/>
        <item t="default"/>
      </items>
    </pivotField>
    <pivotField showAll="0">
      <items count="2">
        <item x="0"/>
        <item t="default"/>
      </items>
    </pivotField>
    <pivotField showAll="0"/>
    <pivotField showAll="0"/>
    <pivotField showAll="0"/>
    <pivotField showAll="0"/>
    <pivotField showAll="0"/>
    <pivotField showAll="0"/>
    <pivotField showAll="0"/>
    <pivotField showAll="0"/>
    <pivotField showAll="0"/>
    <pivotField showAll="0"/>
    <pivotField showAll="0"/>
  </pivotFields>
  <rowFields count="1">
    <field x="2"/>
  </rowFields>
  <rowItems count="9">
    <i>
      <x/>
    </i>
    <i>
      <x v="1"/>
    </i>
    <i>
      <x v="2"/>
    </i>
    <i>
      <x v="3"/>
    </i>
    <i>
      <x v="4"/>
    </i>
    <i>
      <x v="5"/>
    </i>
    <i>
      <x v="6"/>
    </i>
    <i>
      <x v="7"/>
    </i>
    <i t="grand">
      <x/>
    </i>
  </rowItems>
  <colFields count="1">
    <field x="6"/>
  </colFields>
  <colItems count="12">
    <i>
      <x/>
    </i>
    <i>
      <x v="1"/>
    </i>
    <i>
      <x v="2"/>
    </i>
    <i>
      <x v="3"/>
    </i>
    <i>
      <x v="4"/>
    </i>
    <i>
      <x v="5"/>
    </i>
    <i>
      <x v="6"/>
    </i>
    <i>
      <x v="7"/>
    </i>
    <i>
      <x v="8"/>
    </i>
    <i>
      <x v="9"/>
    </i>
    <i>
      <x v="10"/>
    </i>
    <i t="grand">
      <x/>
    </i>
  </colItems>
  <dataFields count="1">
    <dataField name="Sum of Sales" fld="5" baseField="0" baseItem="0"/>
  </dataFields>
  <chartFormats count="24">
    <chartFormat chart="3" format="0" series="1">
      <pivotArea type="data" outline="0" fieldPosition="0">
        <references count="2">
          <reference field="4294967294" count="1" selected="0">
            <x v="0"/>
          </reference>
          <reference field="6" count="1" selected="0">
            <x v="0"/>
          </reference>
        </references>
      </pivotArea>
    </chartFormat>
    <chartFormat chart="3" format="1" series="1">
      <pivotArea type="data" outline="0" fieldPosition="0">
        <references count="2">
          <reference field="4294967294" count="1" selected="0">
            <x v="0"/>
          </reference>
          <reference field="6" count="1" selected="0">
            <x v="1"/>
          </reference>
        </references>
      </pivotArea>
    </chartFormat>
    <chartFormat chart="3" format="2" series="1">
      <pivotArea type="data" outline="0" fieldPosition="0">
        <references count="2">
          <reference field="4294967294" count="1" selected="0">
            <x v="0"/>
          </reference>
          <reference field="6" count="1" selected="0">
            <x v="2"/>
          </reference>
        </references>
      </pivotArea>
    </chartFormat>
    <chartFormat chart="3" format="3" series="1">
      <pivotArea type="data" outline="0" fieldPosition="0">
        <references count="2">
          <reference field="4294967294" count="1" selected="0">
            <x v="0"/>
          </reference>
          <reference field="6" count="1" selected="0">
            <x v="3"/>
          </reference>
        </references>
      </pivotArea>
    </chartFormat>
    <chartFormat chart="3" format="4" series="1">
      <pivotArea type="data" outline="0" fieldPosition="0">
        <references count="2">
          <reference field="4294967294" count="1" selected="0">
            <x v="0"/>
          </reference>
          <reference field="6" count="1" selected="0">
            <x v="4"/>
          </reference>
        </references>
      </pivotArea>
    </chartFormat>
    <chartFormat chart="3" format="5" series="1">
      <pivotArea type="data" outline="0" fieldPosition="0">
        <references count="2">
          <reference field="4294967294" count="1" selected="0">
            <x v="0"/>
          </reference>
          <reference field="6" count="1" selected="0">
            <x v="5"/>
          </reference>
        </references>
      </pivotArea>
    </chartFormat>
    <chartFormat chart="3" format="6" series="1">
      <pivotArea type="data" outline="0" fieldPosition="0">
        <references count="2">
          <reference field="4294967294" count="1" selected="0">
            <x v="0"/>
          </reference>
          <reference field="6" count="1" selected="0">
            <x v="6"/>
          </reference>
        </references>
      </pivotArea>
    </chartFormat>
    <chartFormat chart="3" format="7" series="1">
      <pivotArea type="data" outline="0" fieldPosition="0">
        <references count="2">
          <reference field="4294967294" count="1" selected="0">
            <x v="0"/>
          </reference>
          <reference field="6" count="1" selected="0">
            <x v="7"/>
          </reference>
        </references>
      </pivotArea>
    </chartFormat>
    <chartFormat chart="3" format="8" series="1">
      <pivotArea type="data" outline="0" fieldPosition="0">
        <references count="2">
          <reference field="4294967294" count="1" selected="0">
            <x v="0"/>
          </reference>
          <reference field="6" count="1" selected="0">
            <x v="8"/>
          </reference>
        </references>
      </pivotArea>
    </chartFormat>
    <chartFormat chart="3" format="9" series="1">
      <pivotArea type="data" outline="0" fieldPosition="0">
        <references count="2">
          <reference field="4294967294" count="1" selected="0">
            <x v="0"/>
          </reference>
          <reference field="6" count="1" selected="0">
            <x v="9"/>
          </reference>
        </references>
      </pivotArea>
    </chartFormat>
    <chartFormat chart="3" format="10" series="1">
      <pivotArea type="data" outline="0" fieldPosition="0">
        <references count="2">
          <reference field="4294967294" count="1" selected="0">
            <x v="0"/>
          </reference>
          <reference field="6" count="1" selected="0">
            <x v="10"/>
          </reference>
        </references>
      </pivotArea>
    </chartFormat>
    <chartFormat chart="5" format="22" series="1">
      <pivotArea type="data" outline="0" fieldPosition="0">
        <references count="2">
          <reference field="4294967294" count="1" selected="0">
            <x v="0"/>
          </reference>
          <reference field="6" count="1" selected="0">
            <x v="0"/>
          </reference>
        </references>
      </pivotArea>
    </chartFormat>
    <chartFormat chart="5" format="23" series="1">
      <pivotArea type="data" outline="0" fieldPosition="0">
        <references count="2">
          <reference field="4294967294" count="1" selected="0">
            <x v="0"/>
          </reference>
          <reference field="6" count="1" selected="0">
            <x v="1"/>
          </reference>
        </references>
      </pivotArea>
    </chartFormat>
    <chartFormat chart="5" format="24" series="1">
      <pivotArea type="data" outline="0" fieldPosition="0">
        <references count="2">
          <reference field="4294967294" count="1" selected="0">
            <x v="0"/>
          </reference>
          <reference field="6" count="1" selected="0">
            <x v="2"/>
          </reference>
        </references>
      </pivotArea>
    </chartFormat>
    <chartFormat chart="5" format="25" series="1">
      <pivotArea type="data" outline="0" fieldPosition="0">
        <references count="2">
          <reference field="4294967294" count="1" selected="0">
            <x v="0"/>
          </reference>
          <reference field="6" count="1" selected="0">
            <x v="3"/>
          </reference>
        </references>
      </pivotArea>
    </chartFormat>
    <chartFormat chart="5" format="26" series="1">
      <pivotArea type="data" outline="0" fieldPosition="0">
        <references count="2">
          <reference field="4294967294" count="1" selected="0">
            <x v="0"/>
          </reference>
          <reference field="6" count="1" selected="0">
            <x v="4"/>
          </reference>
        </references>
      </pivotArea>
    </chartFormat>
    <chartFormat chart="5" format="27" series="1">
      <pivotArea type="data" outline="0" fieldPosition="0">
        <references count="2">
          <reference field="4294967294" count="1" selected="0">
            <x v="0"/>
          </reference>
          <reference field="6" count="1" selected="0">
            <x v="5"/>
          </reference>
        </references>
      </pivotArea>
    </chartFormat>
    <chartFormat chart="5" format="28" series="1">
      <pivotArea type="data" outline="0" fieldPosition="0">
        <references count="2">
          <reference field="4294967294" count="1" selected="0">
            <x v="0"/>
          </reference>
          <reference field="6" count="1" selected="0">
            <x v="6"/>
          </reference>
        </references>
      </pivotArea>
    </chartFormat>
    <chartFormat chart="5" format="29" series="1">
      <pivotArea type="data" outline="0" fieldPosition="0">
        <references count="2">
          <reference field="4294967294" count="1" selected="0">
            <x v="0"/>
          </reference>
          <reference field="6" count="1" selected="0">
            <x v="7"/>
          </reference>
        </references>
      </pivotArea>
    </chartFormat>
    <chartFormat chart="5" format="30" series="1">
      <pivotArea type="data" outline="0" fieldPosition="0">
        <references count="2">
          <reference field="4294967294" count="1" selected="0">
            <x v="0"/>
          </reference>
          <reference field="6" count="1" selected="0">
            <x v="8"/>
          </reference>
        </references>
      </pivotArea>
    </chartFormat>
    <chartFormat chart="5" format="31" series="1">
      <pivotArea type="data" outline="0" fieldPosition="0">
        <references count="2">
          <reference field="4294967294" count="1" selected="0">
            <x v="0"/>
          </reference>
          <reference field="6" count="1" selected="0">
            <x v="9"/>
          </reference>
        </references>
      </pivotArea>
    </chartFormat>
    <chartFormat chart="5" format="32" series="1">
      <pivotArea type="data" outline="0" fieldPosition="0">
        <references count="2">
          <reference field="4294967294" count="1" selected="0">
            <x v="0"/>
          </reference>
          <reference field="6" count="1" selected="0">
            <x v="10"/>
          </reference>
        </references>
      </pivotArea>
    </chartFormat>
    <chartFormat chart="3" format="11" series="1">
      <pivotArea type="data" outline="0" fieldPosition="0">
        <references count="1">
          <reference field="4294967294" count="1" selected="0">
            <x v="0"/>
          </reference>
        </references>
      </pivotArea>
    </chartFormat>
    <chartFormat chart="5" format="33"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pivotTableDefinition>
</file>

<file path=xl/queryTables/queryTable1.xml><?xml version="1.0" encoding="utf-8"?>
<queryTable xmlns="http://schemas.openxmlformats.org/spreadsheetml/2006/main" name="Northwind 2007.accdb" connectionId="2" autoFormatId="16" applyNumberFormats="0" applyBorderFormats="0" applyFontFormats="0" applyPatternFormats="0" applyAlignmentFormats="0" applyWidthHeightFormats="0">
  <queryTableRefresh nextId="20">
    <queryTableFields count="19">
      <queryTableField id="1" name="Order ID" tableColumnId="1"/>
      <queryTableField id="2" name="Order Date" tableColumnId="2"/>
      <queryTableField id="3" name="Employee" tableColumnId="3"/>
      <queryTableField id="4" name="Customer Name" tableColumnId="4"/>
      <queryTableField id="5" name="Product Name" tableColumnId="5"/>
      <queryTableField id="6" name="Sales" tableColumnId="6"/>
      <queryTableField id="7" name="State/Province" tableColumnId="7"/>
      <queryTableField id="8" name="Country/Region" tableColumnId="8"/>
      <queryTableField id="9" name="Employee ID" tableColumnId="9"/>
      <queryTableField id="10" name="Product ID" tableColumnId="10"/>
      <queryTableField id="11" name="Customer ID" tableColumnId="11"/>
      <queryTableField id="12" name="Year" tableColumnId="12"/>
      <queryTableField id="13" name="Month" tableColumnId="13"/>
      <queryTableField id="14" name="Quarter" tableColumnId="14"/>
      <queryTableField id="15" name="Month Name" tableColumnId="15"/>
      <queryTableField id="16" name="Category" tableColumnId="16"/>
      <queryTableField id="17" name="Product" tableColumnId="17"/>
      <queryTableField id="18" name="Customer" tableColumnId="18"/>
      <queryTableField id="19" name="MonthOfQuarter" tableColumnId="19"/>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Employee" sourceName="Employee">
  <pivotTables>
    <pivotTable tabId="8" name="PivotTable12"/>
    <pivotTable tabId="1" name="PivotTable10"/>
    <pivotTable tabId="7" name="PivotTable11"/>
  </pivotTables>
  <data>
    <tabular pivotCacheId="1">
      <items count="8">
        <i x="7" s="1"/>
        <i x="0" s="1"/>
        <i x="1" s="1"/>
        <i x="4" s="1"/>
        <i x="2" s="1"/>
        <i x="3" s="1"/>
        <i x="5" s="1"/>
        <i x="6"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mc:Ignorable="x" name="Slicer_State_Province" sourceName="State/Province">
  <pivotTables>
    <pivotTable tabId="8" name="PivotTable12"/>
  </pivotTables>
  <data>
    <tabular pivotCacheId="1">
      <items count="11">
        <i x="4" s="1"/>
        <i x="3" s="1"/>
        <i x="9" s="1"/>
        <i x="7" s="1"/>
        <i x="0" s="1"/>
        <i x="1" s="1"/>
        <i x="2" s="1"/>
        <i x="6" s="1"/>
        <i x="8" s="1"/>
        <i x="10" s="1"/>
        <i x="5"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Employee" cache="Slicer_Employee" caption="Employee" rowHeight="241300"/>
  <slicer name="State/Province" cache="Slicer_State_Province" caption="State/Province" startItem="3" rowHeight="24130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id="4" name="Table_Northwind_2007.accdb" displayName="Table_Northwind_2007.accdb" ref="A1:S50" tableType="queryTable" totalsRowShown="0">
  <sortState ref="A2:S50">
    <sortCondition ref="C2"/>
  </sortState>
  <tableColumns count="19">
    <tableColumn id="1" uniqueName="1" name="Order ID" queryTableFieldId="1"/>
    <tableColumn id="2" uniqueName="2" name="Order Date" queryTableFieldId="2" dataDxfId="0"/>
    <tableColumn id="3" uniqueName="3" name="Employee" queryTableFieldId="3"/>
    <tableColumn id="4" uniqueName="4" name="Customer Name" queryTableFieldId="4"/>
    <tableColumn id="5" uniqueName="5" name="Product Name" queryTableFieldId="5"/>
    <tableColumn id="6" uniqueName="6" name="Sales" queryTableFieldId="6"/>
    <tableColumn id="7" uniqueName="7" name="State/Province" queryTableFieldId="7"/>
    <tableColumn id="8" uniqueName="8" name="Country/Region" queryTableFieldId="8"/>
    <tableColumn id="9" uniqueName="9" name="Employee ID" queryTableFieldId="9"/>
    <tableColumn id="10" uniqueName="10" name="Product ID" queryTableFieldId="10"/>
    <tableColumn id="11" uniqueName="11" name="Customer ID" queryTableFieldId="11"/>
    <tableColumn id="12" uniqueName="12" name="Year" queryTableFieldId="12"/>
    <tableColumn id="13" uniqueName="13" name="Month" queryTableFieldId="13"/>
    <tableColumn id="14" uniqueName="14" name="Quarter" queryTableFieldId="14"/>
    <tableColumn id="15" uniqueName="15" name="Month Name" queryTableFieldId="15"/>
    <tableColumn id="16" uniqueName="16" name="Category" queryTableFieldId="16"/>
    <tableColumn id="17" uniqueName="17" name="Product" queryTableFieldId="17"/>
    <tableColumn id="18" uniqueName="18" name="Customer" queryTableFieldId="18"/>
    <tableColumn id="19" uniqueName="19" name="MonthOfQuarter" queryTableFieldId="19"/>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microsoft.com/office/2007/relationships/slicer" Target="../slicers/slicer1.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openxmlformats.org/officeDocument/2006/relationships/pivotTable" Target="../pivotTables/pivotTable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ivotTable" Target="../pivotTables/pivotTable2.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ivotTable" Target="../pivotTables/pivotTable3.xml"/></Relationships>
</file>

<file path=xl/worksheets/_rels/sheet5.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F21:G22"/>
  <sheetViews>
    <sheetView tabSelected="1" zoomScaleNormal="100" workbookViewId="0">
      <selection activeCell="S31" sqref="S31"/>
    </sheetView>
  </sheetViews>
  <sheetFormatPr defaultRowHeight="15" x14ac:dyDescent="0.25"/>
  <sheetData>
    <row r="21" spans="6:7" ht="23.25" x14ac:dyDescent="0.35">
      <c r="G21" s="5"/>
    </row>
    <row r="22" spans="6:7" ht="23.25" x14ac:dyDescent="0.35">
      <c r="F22" s="5" t="s">
        <v>101</v>
      </c>
    </row>
  </sheetData>
  <pageMargins left="0.7" right="0.7" top="0.75" bottom="0.75" header="0.3" footer="0.3"/>
  <pageSetup orientation="portrait" horizontalDpi="4294967293"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Select_Andrew">
                <anchor moveWithCells="1" sizeWithCells="1">
                  <from>
                    <xdr:col>17</xdr:col>
                    <xdr:colOff>9525</xdr:colOff>
                    <xdr:row>4</xdr:row>
                    <xdr:rowOff>95250</xdr:rowOff>
                  </from>
                  <to>
                    <xdr:col>19</xdr:col>
                    <xdr:colOff>381000</xdr:colOff>
                    <xdr:row>5</xdr:row>
                    <xdr:rowOff>180975</xdr:rowOff>
                  </to>
                </anchor>
              </controlPr>
            </control>
          </mc:Choice>
        </mc:AlternateContent>
        <mc:AlternateContent xmlns:mc="http://schemas.openxmlformats.org/markup-compatibility/2006">
          <mc:Choice Requires="x14">
            <control shapeId="1027" r:id="rId5" name="Button 3">
              <controlPr defaultSize="0" print="0" autoFill="0" autoPict="0" macro="[0]!Select_Anne">
                <anchor moveWithCells="1" sizeWithCells="1">
                  <from>
                    <xdr:col>17</xdr:col>
                    <xdr:colOff>0</xdr:colOff>
                    <xdr:row>6</xdr:row>
                    <xdr:rowOff>76200</xdr:rowOff>
                  </from>
                  <to>
                    <xdr:col>19</xdr:col>
                    <xdr:colOff>371475</xdr:colOff>
                    <xdr:row>7</xdr:row>
                    <xdr:rowOff>161925</xdr:rowOff>
                  </to>
                </anchor>
              </controlPr>
            </control>
          </mc:Choice>
        </mc:AlternateContent>
        <mc:AlternateContent xmlns:mc="http://schemas.openxmlformats.org/markup-compatibility/2006">
          <mc:Choice Requires="x14">
            <control shapeId="1028" r:id="rId6" name="Button 4">
              <controlPr defaultSize="0" print="0" autoFill="0" autoPict="0" macro="[0]!Select_Jane">
                <anchor moveWithCells="1" sizeWithCells="1">
                  <from>
                    <xdr:col>17</xdr:col>
                    <xdr:colOff>9525</xdr:colOff>
                    <xdr:row>8</xdr:row>
                    <xdr:rowOff>47625</xdr:rowOff>
                  </from>
                  <to>
                    <xdr:col>19</xdr:col>
                    <xdr:colOff>381000</xdr:colOff>
                    <xdr:row>9</xdr:row>
                    <xdr:rowOff>133350</xdr:rowOff>
                  </to>
                </anchor>
              </controlPr>
            </control>
          </mc:Choice>
        </mc:AlternateContent>
        <mc:AlternateContent xmlns:mc="http://schemas.openxmlformats.org/markup-compatibility/2006">
          <mc:Choice Requires="x14">
            <control shapeId="1029" r:id="rId7" name="Group Box 5">
              <controlPr defaultSize="0" autoFill="0" autoPict="0">
                <anchor moveWithCells="1">
                  <from>
                    <xdr:col>16</xdr:col>
                    <xdr:colOff>561975</xdr:colOff>
                    <xdr:row>3</xdr:row>
                    <xdr:rowOff>104775</xdr:rowOff>
                  </from>
                  <to>
                    <xdr:col>22</xdr:col>
                    <xdr:colOff>266700</xdr:colOff>
                    <xdr:row>13</xdr:row>
                    <xdr:rowOff>142875</xdr:rowOff>
                  </to>
                </anchor>
              </controlPr>
            </control>
          </mc:Choice>
        </mc:AlternateContent>
        <mc:AlternateContent xmlns:mc="http://schemas.openxmlformats.org/markup-compatibility/2006">
          <mc:Choice Requires="x14">
            <control shapeId="1030" r:id="rId8" name="Button 6">
              <controlPr defaultSize="0" print="0" autoFill="0" autoPict="0" macro="[0]!Select_Laura">
                <anchor moveWithCells="1" sizeWithCells="1">
                  <from>
                    <xdr:col>17</xdr:col>
                    <xdr:colOff>9525</xdr:colOff>
                    <xdr:row>10</xdr:row>
                    <xdr:rowOff>0</xdr:rowOff>
                  </from>
                  <to>
                    <xdr:col>19</xdr:col>
                    <xdr:colOff>381000</xdr:colOff>
                    <xdr:row>11</xdr:row>
                    <xdr:rowOff>85725</xdr:rowOff>
                  </to>
                </anchor>
              </controlPr>
            </control>
          </mc:Choice>
        </mc:AlternateContent>
        <mc:AlternateContent xmlns:mc="http://schemas.openxmlformats.org/markup-compatibility/2006">
          <mc:Choice Requires="x14">
            <control shapeId="1031" r:id="rId9" name="Button 7">
              <controlPr defaultSize="0" print="0" autoFill="0" autoPict="0" macro="[0]!Select_Mariya">
                <anchor moveWithCells="1" sizeWithCells="1">
                  <from>
                    <xdr:col>17</xdr:col>
                    <xdr:colOff>0</xdr:colOff>
                    <xdr:row>11</xdr:row>
                    <xdr:rowOff>171450</xdr:rowOff>
                  </from>
                  <to>
                    <xdr:col>19</xdr:col>
                    <xdr:colOff>371475</xdr:colOff>
                    <xdr:row>13</xdr:row>
                    <xdr:rowOff>66675</xdr:rowOff>
                  </to>
                </anchor>
              </controlPr>
            </control>
          </mc:Choice>
        </mc:AlternateContent>
        <mc:AlternateContent xmlns:mc="http://schemas.openxmlformats.org/markup-compatibility/2006">
          <mc:Choice Requires="x14">
            <control shapeId="1032" r:id="rId10" name="Button 8">
              <controlPr defaultSize="0" print="0" autoFill="0" autoPict="0" macro="[0]!Select_Michael">
                <anchor moveWithCells="1" sizeWithCells="1">
                  <from>
                    <xdr:col>19</xdr:col>
                    <xdr:colOff>419100</xdr:colOff>
                    <xdr:row>4</xdr:row>
                    <xdr:rowOff>76200</xdr:rowOff>
                  </from>
                  <to>
                    <xdr:col>22</xdr:col>
                    <xdr:colOff>180975</xdr:colOff>
                    <xdr:row>5</xdr:row>
                    <xdr:rowOff>161925</xdr:rowOff>
                  </to>
                </anchor>
              </controlPr>
            </control>
          </mc:Choice>
        </mc:AlternateContent>
        <mc:AlternateContent xmlns:mc="http://schemas.openxmlformats.org/markup-compatibility/2006">
          <mc:Choice Requires="x14">
            <control shapeId="1033" r:id="rId11" name="Button 9">
              <controlPr defaultSize="0" print="0" autoFill="0" autoPict="0" macro="[0]!Select_Nancy">
                <anchor moveWithCells="1" sizeWithCells="1">
                  <from>
                    <xdr:col>19</xdr:col>
                    <xdr:colOff>438150</xdr:colOff>
                    <xdr:row>6</xdr:row>
                    <xdr:rowOff>57150</xdr:rowOff>
                  </from>
                  <to>
                    <xdr:col>22</xdr:col>
                    <xdr:colOff>200025</xdr:colOff>
                    <xdr:row>7</xdr:row>
                    <xdr:rowOff>142875</xdr:rowOff>
                  </to>
                </anchor>
              </controlPr>
            </control>
          </mc:Choice>
        </mc:AlternateContent>
        <mc:AlternateContent xmlns:mc="http://schemas.openxmlformats.org/markup-compatibility/2006">
          <mc:Choice Requires="x14">
            <control shapeId="1034" r:id="rId12" name="Button 10">
              <controlPr defaultSize="0" print="0" autoFill="0" autoPict="0" macro="[0]!Select_Robert">
                <anchor moveWithCells="1" sizeWithCells="1">
                  <from>
                    <xdr:col>19</xdr:col>
                    <xdr:colOff>428625</xdr:colOff>
                    <xdr:row>8</xdr:row>
                    <xdr:rowOff>38100</xdr:rowOff>
                  </from>
                  <to>
                    <xdr:col>22</xdr:col>
                    <xdr:colOff>190500</xdr:colOff>
                    <xdr:row>9</xdr:row>
                    <xdr:rowOff>123825</xdr:rowOff>
                  </to>
                </anchor>
              </controlPr>
            </control>
          </mc:Choice>
        </mc:AlternateContent>
        <mc:AlternateContent xmlns:mc="http://schemas.openxmlformats.org/markup-compatibility/2006">
          <mc:Choice Requires="x14">
            <control shapeId="1035" r:id="rId13" name="Button 11">
              <controlPr defaultSize="0" print="0" autoFill="0" autoPict="0" macro="[0]!Select_All">
                <anchor moveWithCells="1" sizeWithCells="1">
                  <from>
                    <xdr:col>19</xdr:col>
                    <xdr:colOff>438150</xdr:colOff>
                    <xdr:row>10</xdr:row>
                    <xdr:rowOff>9525</xdr:rowOff>
                  </from>
                  <to>
                    <xdr:col>22</xdr:col>
                    <xdr:colOff>200025</xdr:colOff>
                    <xdr:row>11</xdr:row>
                    <xdr:rowOff>95250</xdr:rowOff>
                  </to>
                </anchor>
              </controlPr>
            </control>
          </mc:Choice>
        </mc:AlternateContent>
      </controls>
    </mc:Choice>
  </mc:AlternateContent>
  <extLst>
    <ext xmlns:x14="http://schemas.microsoft.com/office/spreadsheetml/2009/9/main" uri="{A8765BA9-456A-4dab-B4F3-ACF838C121DE}">
      <x14:slicerList>
        <x14:slicer r:id="rId14"/>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B19"/>
  <sheetViews>
    <sheetView workbookViewId="0">
      <selection activeCell="B6" sqref="B6"/>
    </sheetView>
  </sheetViews>
  <sheetFormatPr defaultRowHeight="15" x14ac:dyDescent="0.25"/>
  <cols>
    <col min="1" max="1" width="25" bestFit="1" customWidth="1"/>
    <col min="2" max="2" width="12.140625" bestFit="1" customWidth="1"/>
    <col min="3" max="3" width="12.140625" customWidth="1"/>
  </cols>
  <sheetData>
    <row r="1" spans="1:2" x14ac:dyDescent="0.25">
      <c r="A1" s="1" t="s">
        <v>70</v>
      </c>
      <c r="B1" t="s">
        <v>12</v>
      </c>
    </row>
    <row r="2" spans="1:2" x14ac:dyDescent="0.25">
      <c r="A2" s="1" t="s">
        <v>73</v>
      </c>
      <c r="B2" t="s">
        <v>12</v>
      </c>
    </row>
    <row r="4" spans="1:2" x14ac:dyDescent="0.25">
      <c r="A4" s="1" t="s">
        <v>0</v>
      </c>
      <c r="B4" t="s">
        <v>100</v>
      </c>
    </row>
    <row r="5" spans="1:2" x14ac:dyDescent="0.25">
      <c r="A5" s="2" t="s">
        <v>42</v>
      </c>
      <c r="B5" s="4">
        <v>982</v>
      </c>
    </row>
    <row r="6" spans="1:2" x14ac:dyDescent="0.25">
      <c r="A6" s="2" t="s">
        <v>34</v>
      </c>
      <c r="B6" s="4">
        <v>22636</v>
      </c>
    </row>
    <row r="7" spans="1:2" x14ac:dyDescent="0.25">
      <c r="A7" s="2" t="s">
        <v>44</v>
      </c>
      <c r="B7" s="4">
        <v>2550</v>
      </c>
    </row>
    <row r="8" spans="1:2" x14ac:dyDescent="0.25">
      <c r="A8" s="2" t="s">
        <v>69</v>
      </c>
      <c r="B8" s="4">
        <v>1560</v>
      </c>
    </row>
    <row r="9" spans="1:2" x14ac:dyDescent="0.25">
      <c r="A9" s="2" t="s">
        <v>55</v>
      </c>
      <c r="B9" s="4">
        <v>2208</v>
      </c>
    </row>
    <row r="10" spans="1:2" x14ac:dyDescent="0.25">
      <c r="A10" s="2" t="s">
        <v>52</v>
      </c>
      <c r="B10" s="4">
        <v>1380</v>
      </c>
    </row>
    <row r="11" spans="1:2" x14ac:dyDescent="0.25">
      <c r="A11" s="2" t="s">
        <v>57</v>
      </c>
      <c r="B11" s="4">
        <v>3132</v>
      </c>
    </row>
    <row r="12" spans="1:2" x14ac:dyDescent="0.25">
      <c r="A12" s="2" t="s">
        <v>36</v>
      </c>
      <c r="B12" s="4">
        <v>3712.5</v>
      </c>
    </row>
    <row r="13" spans="1:2" x14ac:dyDescent="0.25">
      <c r="A13" s="2" t="s">
        <v>64</v>
      </c>
      <c r="B13" s="4">
        <v>280</v>
      </c>
    </row>
    <row r="14" spans="1:2" x14ac:dyDescent="0.25">
      <c r="A14" s="2" t="s">
        <v>50</v>
      </c>
      <c r="B14" s="4">
        <v>5740</v>
      </c>
    </row>
    <row r="15" spans="1:2" x14ac:dyDescent="0.25">
      <c r="A15" s="2" t="s">
        <v>59</v>
      </c>
      <c r="B15" s="4">
        <v>533.75</v>
      </c>
    </row>
    <row r="16" spans="1:2" x14ac:dyDescent="0.25">
      <c r="A16" s="2" t="s">
        <v>61</v>
      </c>
      <c r="B16" s="4">
        <v>1950</v>
      </c>
    </row>
    <row r="17" spans="1:2" x14ac:dyDescent="0.25">
      <c r="A17" s="2" t="s">
        <v>48</v>
      </c>
      <c r="B17" s="4">
        <v>2600</v>
      </c>
    </row>
    <row r="18" spans="1:2" x14ac:dyDescent="0.25">
      <c r="A18" s="2" t="s">
        <v>46</v>
      </c>
      <c r="B18" s="4">
        <v>2798.5</v>
      </c>
    </row>
    <row r="19" spans="1:2" x14ac:dyDescent="0.25">
      <c r="A19" s="2" t="s">
        <v>1</v>
      </c>
      <c r="B19" s="4">
        <v>52062.75</v>
      </c>
    </row>
  </sheetData>
  <pageMargins left="0.7" right="0.7" top="0.75" bottom="0.75" header="0.3" footer="0.3"/>
  <pageSetup orientation="portrait" horizontalDpi="4294967293" verticalDpi="0" r:id="rId2"/>
  <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B11"/>
  <sheetViews>
    <sheetView workbookViewId="0">
      <selection activeCell="B2" sqref="B2"/>
    </sheetView>
  </sheetViews>
  <sheetFormatPr defaultRowHeight="15" x14ac:dyDescent="0.25"/>
  <cols>
    <col min="1" max="1" width="14.28515625" customWidth="1"/>
    <col min="2" max="2" width="12.140625" bestFit="1" customWidth="1"/>
  </cols>
  <sheetData>
    <row r="1" spans="1:2" x14ac:dyDescent="0.25">
      <c r="A1" s="1" t="s">
        <v>73</v>
      </c>
      <c r="B1" t="s">
        <v>12</v>
      </c>
    </row>
    <row r="2" spans="1:2" x14ac:dyDescent="0.25">
      <c r="A2" s="1" t="s">
        <v>70</v>
      </c>
      <c r="B2" t="s">
        <v>12</v>
      </c>
    </row>
    <row r="4" spans="1:2" x14ac:dyDescent="0.25">
      <c r="A4" s="1" t="s">
        <v>0</v>
      </c>
      <c r="B4" t="s">
        <v>100</v>
      </c>
    </row>
    <row r="5" spans="1:2" x14ac:dyDescent="0.25">
      <c r="A5" s="2" t="s">
        <v>84</v>
      </c>
      <c r="B5" s="4">
        <v>3836</v>
      </c>
    </row>
    <row r="6" spans="1:2" x14ac:dyDescent="0.25">
      <c r="A6" s="2" t="s">
        <v>87</v>
      </c>
      <c r="B6" s="4">
        <v>2241.5</v>
      </c>
    </row>
    <row r="7" spans="1:2" x14ac:dyDescent="0.25">
      <c r="A7" s="2" t="s">
        <v>91</v>
      </c>
      <c r="B7" s="4">
        <v>16915</v>
      </c>
    </row>
    <row r="8" spans="1:2" x14ac:dyDescent="0.25">
      <c r="A8" s="2" t="s">
        <v>94</v>
      </c>
      <c r="B8" s="4">
        <v>18975.25</v>
      </c>
    </row>
    <row r="9" spans="1:2" x14ac:dyDescent="0.25">
      <c r="A9" s="2" t="s">
        <v>99</v>
      </c>
      <c r="B9" s="4">
        <v>1788.5</v>
      </c>
    </row>
    <row r="10" spans="1:2" x14ac:dyDescent="0.25">
      <c r="A10" s="2" t="s">
        <v>97</v>
      </c>
      <c r="B10" s="4">
        <v>8306.5</v>
      </c>
    </row>
    <row r="11" spans="1:2" x14ac:dyDescent="0.25">
      <c r="A11" s="2" t="s">
        <v>1</v>
      </c>
      <c r="B11" s="4">
        <v>52062.75</v>
      </c>
    </row>
  </sheetData>
  <pageMargins left="0.7" right="0.7" top="0.75" bottom="0.75" header="0.3" footer="0.3"/>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3:M13"/>
  <sheetViews>
    <sheetView topLeftCell="A7" workbookViewId="0">
      <selection activeCell="P11" sqref="P11"/>
    </sheetView>
  </sheetViews>
  <sheetFormatPr defaultRowHeight="15" x14ac:dyDescent="0.25"/>
  <cols>
    <col min="1" max="1" width="19.7109375" customWidth="1"/>
    <col min="2" max="2" width="16.28515625" customWidth="1"/>
    <col min="3" max="3" width="7" bestFit="1" customWidth="1"/>
    <col min="4" max="4" width="8" bestFit="1" customWidth="1"/>
    <col min="5" max="5" width="7" bestFit="1" customWidth="1"/>
    <col min="6" max="7" width="5" bestFit="1" customWidth="1"/>
    <col min="8" max="8" width="5" customWidth="1"/>
    <col min="9" max="9" width="8" customWidth="1"/>
    <col min="10" max="10" width="7" customWidth="1"/>
    <col min="11" max="11" width="4.28515625" customWidth="1"/>
    <col min="12" max="12" width="7" customWidth="1"/>
    <col min="13" max="13" width="11.28515625" bestFit="1" customWidth="1"/>
  </cols>
  <sheetData>
    <row r="3" spans="1:13" x14ac:dyDescent="0.25">
      <c r="A3" s="1" t="s">
        <v>100</v>
      </c>
      <c r="B3" s="1" t="s">
        <v>10</v>
      </c>
    </row>
    <row r="4" spans="1:13" x14ac:dyDescent="0.25">
      <c r="A4" s="1" t="s">
        <v>0</v>
      </c>
      <c r="B4" t="s">
        <v>89</v>
      </c>
      <c r="C4" t="s">
        <v>88</v>
      </c>
      <c r="D4" t="s">
        <v>96</v>
      </c>
      <c r="E4" t="s">
        <v>93</v>
      </c>
      <c r="F4" t="s">
        <v>83</v>
      </c>
      <c r="G4" t="s">
        <v>85</v>
      </c>
      <c r="H4" t="s">
        <v>86</v>
      </c>
      <c r="I4" t="s">
        <v>92</v>
      </c>
      <c r="J4" t="s">
        <v>95</v>
      </c>
      <c r="K4" t="s">
        <v>98</v>
      </c>
      <c r="L4" t="s">
        <v>90</v>
      </c>
      <c r="M4" t="s">
        <v>1</v>
      </c>
    </row>
    <row r="5" spans="1:13" x14ac:dyDescent="0.25">
      <c r="A5" s="2" t="s">
        <v>8</v>
      </c>
      <c r="B5" s="4"/>
      <c r="C5" s="4"/>
      <c r="D5" s="4"/>
      <c r="E5" s="4"/>
      <c r="F5" s="4"/>
      <c r="G5" s="4"/>
      <c r="H5" s="4"/>
      <c r="I5" s="4"/>
      <c r="J5" s="4"/>
      <c r="K5" s="4"/>
      <c r="L5" s="4">
        <v>2617.5</v>
      </c>
      <c r="M5" s="4">
        <v>2617.5</v>
      </c>
    </row>
    <row r="6" spans="1:13" x14ac:dyDescent="0.25">
      <c r="A6" s="2" t="s">
        <v>2</v>
      </c>
      <c r="B6" s="4"/>
      <c r="C6" s="4"/>
      <c r="D6" s="4">
        <v>3625.25</v>
      </c>
      <c r="E6" s="4">
        <v>860</v>
      </c>
      <c r="F6" s="4">
        <v>1505</v>
      </c>
      <c r="G6" s="4">
        <v>184</v>
      </c>
      <c r="H6" s="4"/>
      <c r="I6" s="4">
        <v>13800</v>
      </c>
      <c r="J6" s="4"/>
      <c r="K6" s="4"/>
      <c r="L6" s="4"/>
      <c r="M6" s="4">
        <v>19974.25</v>
      </c>
    </row>
    <row r="7" spans="1:13" x14ac:dyDescent="0.25">
      <c r="A7" s="2" t="s">
        <v>3</v>
      </c>
      <c r="B7" s="4"/>
      <c r="C7" s="4">
        <v>127.5</v>
      </c>
      <c r="D7" s="4"/>
      <c r="E7" s="4"/>
      <c r="F7" s="4"/>
      <c r="G7" s="4">
        <v>4385</v>
      </c>
      <c r="H7" s="4">
        <v>1275</v>
      </c>
      <c r="I7" s="4"/>
      <c r="J7" s="4"/>
      <c r="K7" s="4"/>
      <c r="L7" s="4"/>
      <c r="M7" s="4">
        <v>5787.5</v>
      </c>
    </row>
    <row r="8" spans="1:13" x14ac:dyDescent="0.25">
      <c r="A8" s="2" t="s">
        <v>6</v>
      </c>
      <c r="B8" s="4"/>
      <c r="C8" s="4"/>
      <c r="D8" s="4"/>
      <c r="E8" s="4"/>
      <c r="F8" s="4"/>
      <c r="G8" s="4"/>
      <c r="H8" s="4"/>
      <c r="I8" s="4"/>
      <c r="J8" s="4"/>
      <c r="K8" s="4"/>
      <c r="L8" s="4">
        <v>680</v>
      </c>
      <c r="M8" s="4">
        <v>680</v>
      </c>
    </row>
    <row r="9" spans="1:13" x14ac:dyDescent="0.25">
      <c r="A9" s="2" t="s">
        <v>4</v>
      </c>
      <c r="B9" s="4">
        <v>2550</v>
      </c>
      <c r="C9" s="4"/>
      <c r="D9" s="4"/>
      <c r="E9" s="4">
        <v>798</v>
      </c>
      <c r="F9" s="4">
        <v>1190</v>
      </c>
      <c r="G9" s="4"/>
      <c r="H9" s="4">
        <v>1740</v>
      </c>
      <c r="I9" s="4"/>
      <c r="J9" s="4"/>
      <c r="K9" s="4"/>
      <c r="L9" s="4"/>
      <c r="M9" s="4">
        <v>6278</v>
      </c>
    </row>
    <row r="10" spans="1:13" x14ac:dyDescent="0.25">
      <c r="A10" s="2" t="s">
        <v>5</v>
      </c>
      <c r="B10" s="4"/>
      <c r="C10" s="4"/>
      <c r="D10" s="4"/>
      <c r="E10" s="4"/>
      <c r="F10" s="4"/>
      <c r="G10" s="4"/>
      <c r="H10" s="4">
        <v>1668</v>
      </c>
      <c r="I10" s="4"/>
      <c r="J10" s="4"/>
      <c r="K10" s="4"/>
      <c r="L10" s="4">
        <v>4710</v>
      </c>
      <c r="M10" s="4">
        <v>6378</v>
      </c>
    </row>
    <row r="11" spans="1:13" x14ac:dyDescent="0.25">
      <c r="A11" s="2" t="s">
        <v>7</v>
      </c>
      <c r="B11" s="4"/>
      <c r="C11" s="4">
        <v>2778</v>
      </c>
      <c r="D11" s="4">
        <v>800</v>
      </c>
      <c r="E11" s="4">
        <v>614.5</v>
      </c>
      <c r="F11" s="4"/>
      <c r="G11" s="4"/>
      <c r="H11" s="4"/>
      <c r="I11" s="4">
        <v>1632.5</v>
      </c>
      <c r="J11" s="4"/>
      <c r="K11" s="4">
        <v>736</v>
      </c>
      <c r="L11" s="4"/>
      <c r="M11" s="4">
        <v>6561</v>
      </c>
    </row>
    <row r="12" spans="1:13" x14ac:dyDescent="0.25">
      <c r="A12" s="2" t="s">
        <v>9</v>
      </c>
      <c r="B12" s="4"/>
      <c r="C12" s="4"/>
      <c r="D12" s="4"/>
      <c r="E12" s="4"/>
      <c r="F12" s="4"/>
      <c r="G12" s="4"/>
      <c r="H12" s="4"/>
      <c r="I12" s="4"/>
      <c r="J12" s="4">
        <v>3786.5</v>
      </c>
      <c r="K12" s="4"/>
      <c r="L12" s="4"/>
      <c r="M12" s="4">
        <v>3786.5</v>
      </c>
    </row>
    <row r="13" spans="1:13" x14ac:dyDescent="0.25">
      <c r="A13" s="2" t="s">
        <v>1</v>
      </c>
      <c r="B13" s="4">
        <v>2550</v>
      </c>
      <c r="C13" s="4">
        <v>2905.5</v>
      </c>
      <c r="D13" s="4">
        <v>4425.25</v>
      </c>
      <c r="E13" s="4">
        <v>2272.5</v>
      </c>
      <c r="F13" s="4">
        <v>2695</v>
      </c>
      <c r="G13" s="4">
        <v>4569</v>
      </c>
      <c r="H13" s="4">
        <v>4683</v>
      </c>
      <c r="I13" s="4">
        <v>15432.5</v>
      </c>
      <c r="J13" s="4">
        <v>3786.5</v>
      </c>
      <c r="K13" s="4">
        <v>736</v>
      </c>
      <c r="L13" s="4">
        <v>8007.5</v>
      </c>
      <c r="M13" s="4">
        <v>52062.75</v>
      </c>
    </row>
  </sheetData>
  <pageMargins left="0.7" right="0.7" top="0.75" bottom="0.75" header="0.3" footer="0.3"/>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S50"/>
  <sheetViews>
    <sheetView topLeftCell="A28" workbookViewId="0">
      <selection activeCell="B30" sqref="B30"/>
    </sheetView>
  </sheetViews>
  <sheetFormatPr defaultRowHeight="15" x14ac:dyDescent="0.25"/>
  <cols>
    <col min="1" max="1" width="8.42578125" bestFit="1" customWidth="1"/>
    <col min="2" max="2" width="10.7109375" bestFit="1" customWidth="1"/>
    <col min="3" max="3" width="19.7109375" bestFit="1" customWidth="1"/>
    <col min="4" max="4" width="15.42578125" bestFit="1" customWidth="1"/>
    <col min="5" max="5" width="38.7109375" bestFit="1" customWidth="1"/>
    <col min="6" max="6" width="7" bestFit="1" customWidth="1"/>
    <col min="7" max="7" width="14.28515625" bestFit="1" customWidth="1"/>
    <col min="8" max="8" width="15.140625" bestFit="1" customWidth="1"/>
    <col min="9" max="9" width="12.140625" bestFit="1" customWidth="1"/>
    <col min="10" max="10" width="10.140625" bestFit="1" customWidth="1"/>
    <col min="11" max="11" width="11.85546875" bestFit="1" customWidth="1"/>
    <col min="12" max="12" width="5" bestFit="1" customWidth="1"/>
    <col min="13" max="13" width="7" bestFit="1" customWidth="1"/>
    <col min="14" max="14" width="7.85546875" bestFit="1" customWidth="1"/>
    <col min="15" max="15" width="12.7109375" bestFit="1" customWidth="1"/>
    <col min="16" max="16" width="25" bestFit="1" customWidth="1"/>
    <col min="17" max="17" width="38.7109375" bestFit="1" customWidth="1"/>
    <col min="18" max="18" width="12.28515625" bestFit="1" customWidth="1"/>
    <col min="19" max="19" width="16.140625" bestFit="1" customWidth="1"/>
  </cols>
  <sheetData>
    <row r="1" spans="1:19" x14ac:dyDescent="0.25">
      <c r="A1" t="s">
        <v>29</v>
      </c>
      <c r="B1" t="s">
        <v>11</v>
      </c>
      <c r="C1" t="s">
        <v>70</v>
      </c>
      <c r="D1" t="s">
        <v>71</v>
      </c>
      <c r="E1" t="s">
        <v>31</v>
      </c>
      <c r="F1" t="s">
        <v>72</v>
      </c>
      <c r="G1" t="s">
        <v>73</v>
      </c>
      <c r="H1" t="s">
        <v>74</v>
      </c>
      <c r="I1" t="s">
        <v>75</v>
      </c>
      <c r="J1" t="s">
        <v>28</v>
      </c>
      <c r="K1" t="s">
        <v>30</v>
      </c>
      <c r="L1" t="s">
        <v>76</v>
      </c>
      <c r="M1" s="4" t="s">
        <v>77</v>
      </c>
      <c r="N1" t="s">
        <v>78</v>
      </c>
      <c r="O1" t="s">
        <v>79</v>
      </c>
      <c r="P1" t="s">
        <v>32</v>
      </c>
      <c r="Q1" t="s">
        <v>80</v>
      </c>
      <c r="R1" t="s">
        <v>81</v>
      </c>
      <c r="S1" t="s">
        <v>82</v>
      </c>
    </row>
    <row r="2" spans="1:19" x14ac:dyDescent="0.25">
      <c r="A2">
        <v>56</v>
      </c>
      <c r="B2" s="3">
        <v>38810</v>
      </c>
      <c r="C2" t="s">
        <v>8</v>
      </c>
      <c r="D2" t="s">
        <v>20</v>
      </c>
      <c r="E2" t="s">
        <v>43</v>
      </c>
      <c r="F2">
        <v>127.5</v>
      </c>
      <c r="G2" t="s">
        <v>90</v>
      </c>
      <c r="H2" t="s">
        <v>13</v>
      </c>
      <c r="I2">
        <v>2</v>
      </c>
      <c r="J2">
        <v>48</v>
      </c>
      <c r="K2">
        <v>6</v>
      </c>
      <c r="L2">
        <v>2006</v>
      </c>
      <c r="M2">
        <v>4</v>
      </c>
      <c r="N2">
        <v>2</v>
      </c>
      <c r="O2" t="s">
        <v>94</v>
      </c>
      <c r="P2" t="s">
        <v>44</v>
      </c>
      <c r="Q2" t="s">
        <v>43</v>
      </c>
      <c r="R2" t="s">
        <v>20</v>
      </c>
      <c r="S2">
        <v>1</v>
      </c>
    </row>
    <row r="3" spans="1:19" x14ac:dyDescent="0.25">
      <c r="A3">
        <v>79</v>
      </c>
      <c r="B3" s="3">
        <v>38891</v>
      </c>
      <c r="C3" t="s">
        <v>8</v>
      </c>
      <c r="D3" t="s">
        <v>20</v>
      </c>
      <c r="E3" t="s">
        <v>38</v>
      </c>
      <c r="F3">
        <v>900</v>
      </c>
      <c r="G3" t="s">
        <v>90</v>
      </c>
      <c r="H3" t="s">
        <v>13</v>
      </c>
      <c r="I3">
        <v>2</v>
      </c>
      <c r="J3">
        <v>7</v>
      </c>
      <c r="K3">
        <v>6</v>
      </c>
      <c r="L3">
        <v>2006</v>
      </c>
      <c r="M3">
        <v>6</v>
      </c>
      <c r="N3">
        <v>2</v>
      </c>
      <c r="O3" t="s">
        <v>97</v>
      </c>
      <c r="P3" t="s">
        <v>36</v>
      </c>
      <c r="Q3" t="s">
        <v>38</v>
      </c>
      <c r="R3" t="s">
        <v>20</v>
      </c>
      <c r="S3">
        <v>0</v>
      </c>
    </row>
    <row r="4" spans="1:19" x14ac:dyDescent="0.25">
      <c r="A4">
        <v>79</v>
      </c>
      <c r="B4" s="3">
        <v>38891</v>
      </c>
      <c r="C4" t="s">
        <v>8</v>
      </c>
      <c r="D4" t="s">
        <v>20</v>
      </c>
      <c r="E4" t="s">
        <v>37</v>
      </c>
      <c r="F4">
        <v>1590</v>
      </c>
      <c r="G4" t="s">
        <v>90</v>
      </c>
      <c r="H4" t="s">
        <v>13</v>
      </c>
      <c r="I4">
        <v>2</v>
      </c>
      <c r="J4">
        <v>51</v>
      </c>
      <c r="K4">
        <v>6</v>
      </c>
      <c r="L4">
        <v>2006</v>
      </c>
      <c r="M4">
        <v>6</v>
      </c>
      <c r="N4">
        <v>2</v>
      </c>
      <c r="O4" t="s">
        <v>97</v>
      </c>
      <c r="P4" t="s">
        <v>36</v>
      </c>
      <c r="Q4" t="s">
        <v>37</v>
      </c>
      <c r="R4" t="s">
        <v>20</v>
      </c>
      <c r="S4">
        <v>0</v>
      </c>
    </row>
    <row r="5" spans="1:19" x14ac:dyDescent="0.25">
      <c r="A5">
        <v>30</v>
      </c>
      <c r="B5" s="3">
        <v>38732</v>
      </c>
      <c r="C5" t="s">
        <v>2</v>
      </c>
      <c r="D5" t="s">
        <v>15</v>
      </c>
      <c r="E5" t="s">
        <v>33</v>
      </c>
      <c r="F5">
        <v>1400</v>
      </c>
      <c r="G5" t="s">
        <v>83</v>
      </c>
      <c r="H5" t="s">
        <v>13</v>
      </c>
      <c r="I5">
        <v>9</v>
      </c>
      <c r="J5">
        <v>34</v>
      </c>
      <c r="K5">
        <v>27</v>
      </c>
      <c r="L5">
        <v>2006</v>
      </c>
      <c r="M5" s="4">
        <v>1</v>
      </c>
      <c r="N5">
        <v>1</v>
      </c>
      <c r="O5" t="s">
        <v>84</v>
      </c>
      <c r="P5" t="s">
        <v>34</v>
      </c>
      <c r="Q5" t="s">
        <v>33</v>
      </c>
      <c r="R5" t="s">
        <v>15</v>
      </c>
      <c r="S5">
        <v>1</v>
      </c>
    </row>
    <row r="6" spans="1:19" x14ac:dyDescent="0.25">
      <c r="A6">
        <v>30</v>
      </c>
      <c r="B6" s="3">
        <v>38732</v>
      </c>
      <c r="C6" t="s">
        <v>2</v>
      </c>
      <c r="D6" t="s">
        <v>15</v>
      </c>
      <c r="E6" t="s">
        <v>35</v>
      </c>
      <c r="F6">
        <v>105</v>
      </c>
      <c r="G6" t="s">
        <v>83</v>
      </c>
      <c r="H6" t="s">
        <v>13</v>
      </c>
      <c r="I6">
        <v>9</v>
      </c>
      <c r="J6">
        <v>80</v>
      </c>
      <c r="K6">
        <v>27</v>
      </c>
      <c r="L6">
        <v>2006</v>
      </c>
      <c r="M6">
        <v>1</v>
      </c>
      <c r="N6">
        <v>1</v>
      </c>
      <c r="O6" t="s">
        <v>84</v>
      </c>
      <c r="P6" t="s">
        <v>36</v>
      </c>
      <c r="Q6" t="s">
        <v>35</v>
      </c>
      <c r="R6" t="s">
        <v>15</v>
      </c>
      <c r="S6">
        <v>1</v>
      </c>
    </row>
    <row r="7" spans="1:19" x14ac:dyDescent="0.25">
      <c r="A7">
        <v>34</v>
      </c>
      <c r="B7" s="3">
        <v>38754</v>
      </c>
      <c r="C7" t="s">
        <v>2</v>
      </c>
      <c r="D7" t="s">
        <v>19</v>
      </c>
      <c r="E7" t="s">
        <v>41</v>
      </c>
      <c r="F7">
        <v>184</v>
      </c>
      <c r="G7" t="s">
        <v>85</v>
      </c>
      <c r="H7" t="s">
        <v>13</v>
      </c>
      <c r="I7">
        <v>9</v>
      </c>
      <c r="J7">
        <v>19</v>
      </c>
      <c r="K7">
        <v>4</v>
      </c>
      <c r="L7">
        <v>2006</v>
      </c>
      <c r="M7">
        <v>2</v>
      </c>
      <c r="N7">
        <v>1</v>
      </c>
      <c r="O7" t="s">
        <v>87</v>
      </c>
      <c r="P7" t="s">
        <v>42</v>
      </c>
      <c r="Q7" t="s">
        <v>41</v>
      </c>
      <c r="R7" t="s">
        <v>19</v>
      </c>
      <c r="S7">
        <v>2</v>
      </c>
    </row>
    <row r="8" spans="1:19" x14ac:dyDescent="0.25">
      <c r="A8">
        <v>38</v>
      </c>
      <c r="B8" s="3">
        <v>38786</v>
      </c>
      <c r="C8" t="s">
        <v>2</v>
      </c>
      <c r="D8" t="s">
        <v>16</v>
      </c>
      <c r="E8" t="s">
        <v>40</v>
      </c>
      <c r="F8">
        <v>13800</v>
      </c>
      <c r="G8" t="s">
        <v>92</v>
      </c>
      <c r="H8" t="s">
        <v>13</v>
      </c>
      <c r="I8">
        <v>9</v>
      </c>
      <c r="J8">
        <v>43</v>
      </c>
      <c r="K8">
        <v>28</v>
      </c>
      <c r="L8">
        <v>2006</v>
      </c>
      <c r="M8">
        <v>3</v>
      </c>
      <c r="N8">
        <v>1</v>
      </c>
      <c r="O8" t="s">
        <v>91</v>
      </c>
      <c r="P8" t="s">
        <v>34</v>
      </c>
      <c r="Q8" t="s">
        <v>40</v>
      </c>
      <c r="R8" t="s">
        <v>16</v>
      </c>
      <c r="S8">
        <v>0</v>
      </c>
    </row>
    <row r="9" spans="1:19" x14ac:dyDescent="0.25">
      <c r="A9">
        <v>50</v>
      </c>
      <c r="B9" s="3">
        <v>38812</v>
      </c>
      <c r="C9" t="s">
        <v>2</v>
      </c>
      <c r="D9" t="s">
        <v>26</v>
      </c>
      <c r="E9" t="s">
        <v>62</v>
      </c>
      <c r="F9">
        <v>200</v>
      </c>
      <c r="G9" t="s">
        <v>93</v>
      </c>
      <c r="H9" t="s">
        <v>13</v>
      </c>
      <c r="I9">
        <v>9</v>
      </c>
      <c r="J9">
        <v>21</v>
      </c>
      <c r="K9">
        <v>25</v>
      </c>
      <c r="L9">
        <v>2006</v>
      </c>
      <c r="M9">
        <v>4</v>
      </c>
      <c r="N9">
        <v>2</v>
      </c>
      <c r="O9" t="s">
        <v>94</v>
      </c>
      <c r="P9" t="s">
        <v>42</v>
      </c>
      <c r="Q9" t="s">
        <v>62</v>
      </c>
      <c r="R9" t="s">
        <v>26</v>
      </c>
      <c r="S9">
        <v>1</v>
      </c>
    </row>
    <row r="10" spans="1:19" x14ac:dyDescent="0.25">
      <c r="A10">
        <v>51</v>
      </c>
      <c r="B10" s="3">
        <v>38812</v>
      </c>
      <c r="C10" t="s">
        <v>2</v>
      </c>
      <c r="D10" t="s">
        <v>27</v>
      </c>
      <c r="E10" t="s">
        <v>58</v>
      </c>
      <c r="F10">
        <v>533.75</v>
      </c>
      <c r="G10" t="s">
        <v>96</v>
      </c>
      <c r="H10" t="s">
        <v>13</v>
      </c>
      <c r="I10">
        <v>9</v>
      </c>
      <c r="J10">
        <v>5</v>
      </c>
      <c r="K10">
        <v>26</v>
      </c>
      <c r="L10">
        <v>2006</v>
      </c>
      <c r="M10">
        <v>4</v>
      </c>
      <c r="N10">
        <v>2</v>
      </c>
      <c r="O10" t="s">
        <v>94</v>
      </c>
      <c r="P10" t="s">
        <v>59</v>
      </c>
      <c r="Q10" t="s">
        <v>58</v>
      </c>
      <c r="R10" t="s">
        <v>27</v>
      </c>
      <c r="S10">
        <v>1</v>
      </c>
    </row>
    <row r="11" spans="1:19" x14ac:dyDescent="0.25">
      <c r="A11">
        <v>51</v>
      </c>
      <c r="B11" s="3">
        <v>38812</v>
      </c>
      <c r="C11" t="s">
        <v>2</v>
      </c>
      <c r="D11" t="s">
        <v>27</v>
      </c>
      <c r="E11" t="s">
        <v>45</v>
      </c>
      <c r="F11">
        <v>289.5</v>
      </c>
      <c r="G11" t="s">
        <v>96</v>
      </c>
      <c r="H11" t="s">
        <v>13</v>
      </c>
      <c r="I11">
        <v>9</v>
      </c>
      <c r="J11">
        <v>41</v>
      </c>
      <c r="K11">
        <v>26</v>
      </c>
      <c r="L11">
        <v>2006</v>
      </c>
      <c r="M11">
        <v>4</v>
      </c>
      <c r="N11">
        <v>2</v>
      </c>
      <c r="O11" t="s">
        <v>94</v>
      </c>
      <c r="P11" t="s">
        <v>46</v>
      </c>
      <c r="Q11" t="s">
        <v>45</v>
      </c>
      <c r="R11" t="s">
        <v>27</v>
      </c>
      <c r="S11">
        <v>1</v>
      </c>
    </row>
    <row r="12" spans="1:19" x14ac:dyDescent="0.25">
      <c r="A12">
        <v>51</v>
      </c>
      <c r="B12" s="3">
        <v>38812</v>
      </c>
      <c r="C12" t="s">
        <v>2</v>
      </c>
      <c r="D12" t="s">
        <v>27</v>
      </c>
      <c r="E12" t="s">
        <v>54</v>
      </c>
      <c r="F12">
        <v>552</v>
      </c>
      <c r="G12" t="s">
        <v>96</v>
      </c>
      <c r="H12" t="s">
        <v>13</v>
      </c>
      <c r="I12">
        <v>9</v>
      </c>
      <c r="J12">
        <v>40</v>
      </c>
      <c r="K12">
        <v>26</v>
      </c>
      <c r="L12">
        <v>2006</v>
      </c>
      <c r="M12">
        <v>4</v>
      </c>
      <c r="N12">
        <v>2</v>
      </c>
      <c r="O12" t="s">
        <v>94</v>
      </c>
      <c r="P12" t="s">
        <v>55</v>
      </c>
      <c r="Q12" t="s">
        <v>54</v>
      </c>
      <c r="R12" t="s">
        <v>27</v>
      </c>
      <c r="S12">
        <v>1</v>
      </c>
    </row>
    <row r="13" spans="1:19" x14ac:dyDescent="0.25">
      <c r="A13">
        <v>77</v>
      </c>
      <c r="B13" s="3">
        <v>38873</v>
      </c>
      <c r="C13" t="s">
        <v>2</v>
      </c>
      <c r="D13" t="s">
        <v>27</v>
      </c>
      <c r="E13" t="s">
        <v>49</v>
      </c>
      <c r="F13">
        <v>2250</v>
      </c>
      <c r="G13" t="s">
        <v>96</v>
      </c>
      <c r="H13" t="s">
        <v>13</v>
      </c>
      <c r="I13">
        <v>9</v>
      </c>
      <c r="J13">
        <v>6</v>
      </c>
      <c r="K13">
        <v>26</v>
      </c>
      <c r="L13">
        <v>2006</v>
      </c>
      <c r="M13">
        <v>6</v>
      </c>
      <c r="N13">
        <v>2</v>
      </c>
      <c r="O13" t="s">
        <v>97</v>
      </c>
      <c r="P13" t="s">
        <v>50</v>
      </c>
      <c r="Q13" t="s">
        <v>49</v>
      </c>
      <c r="R13" t="s">
        <v>27</v>
      </c>
      <c r="S13">
        <v>0</v>
      </c>
    </row>
    <row r="14" spans="1:19" x14ac:dyDescent="0.25">
      <c r="A14">
        <v>76</v>
      </c>
      <c r="B14" s="3">
        <v>38873</v>
      </c>
      <c r="C14" t="s">
        <v>2</v>
      </c>
      <c r="D14" t="s">
        <v>26</v>
      </c>
      <c r="E14" t="s">
        <v>51</v>
      </c>
      <c r="F14">
        <v>660</v>
      </c>
      <c r="G14" t="s">
        <v>93</v>
      </c>
      <c r="H14" t="s">
        <v>13</v>
      </c>
      <c r="I14">
        <v>9</v>
      </c>
      <c r="J14">
        <v>4</v>
      </c>
      <c r="K14">
        <v>25</v>
      </c>
      <c r="L14">
        <v>2006</v>
      </c>
      <c r="M14">
        <v>6</v>
      </c>
      <c r="N14">
        <v>2</v>
      </c>
      <c r="O14" t="s">
        <v>97</v>
      </c>
      <c r="P14" t="s">
        <v>52</v>
      </c>
      <c r="Q14" t="s">
        <v>51</v>
      </c>
      <c r="R14" t="s">
        <v>26</v>
      </c>
      <c r="S14">
        <v>0</v>
      </c>
    </row>
    <row r="15" spans="1:19" x14ac:dyDescent="0.25">
      <c r="A15">
        <v>31</v>
      </c>
      <c r="B15" s="3">
        <v>38737</v>
      </c>
      <c r="C15" t="s">
        <v>3</v>
      </c>
      <c r="D15" t="s">
        <v>19</v>
      </c>
      <c r="E15" t="s">
        <v>38</v>
      </c>
      <c r="F15">
        <v>300</v>
      </c>
      <c r="G15" t="s">
        <v>85</v>
      </c>
      <c r="H15" t="s">
        <v>13</v>
      </c>
      <c r="I15">
        <v>3</v>
      </c>
      <c r="J15">
        <v>7</v>
      </c>
      <c r="K15">
        <v>4</v>
      </c>
      <c r="L15">
        <v>2006</v>
      </c>
      <c r="M15">
        <v>1</v>
      </c>
      <c r="N15">
        <v>1</v>
      </c>
      <c r="O15" t="s">
        <v>84</v>
      </c>
      <c r="P15" t="s">
        <v>36</v>
      </c>
      <c r="Q15" t="s">
        <v>38</v>
      </c>
      <c r="R15" t="s">
        <v>19</v>
      </c>
      <c r="S15">
        <v>1</v>
      </c>
    </row>
    <row r="16" spans="1:19" x14ac:dyDescent="0.25">
      <c r="A16">
        <v>31</v>
      </c>
      <c r="B16" s="3">
        <v>38737</v>
      </c>
      <c r="C16" t="s">
        <v>3</v>
      </c>
      <c r="D16" t="s">
        <v>19</v>
      </c>
      <c r="E16" t="s">
        <v>37</v>
      </c>
      <c r="F16">
        <v>530</v>
      </c>
      <c r="G16" t="s">
        <v>85</v>
      </c>
      <c r="H16" t="s">
        <v>13</v>
      </c>
      <c r="I16">
        <v>3</v>
      </c>
      <c r="J16">
        <v>51</v>
      </c>
      <c r="K16">
        <v>4</v>
      </c>
      <c r="L16">
        <v>2006</v>
      </c>
      <c r="M16">
        <v>1</v>
      </c>
      <c r="N16">
        <v>1</v>
      </c>
      <c r="O16" t="s">
        <v>84</v>
      </c>
      <c r="P16" t="s">
        <v>36</v>
      </c>
      <c r="Q16" t="s">
        <v>37</v>
      </c>
      <c r="R16" t="s">
        <v>19</v>
      </c>
      <c r="S16">
        <v>1</v>
      </c>
    </row>
    <row r="17" spans="1:19" x14ac:dyDescent="0.25">
      <c r="A17">
        <v>31</v>
      </c>
      <c r="B17" s="3">
        <v>38737</v>
      </c>
      <c r="C17" t="s">
        <v>3</v>
      </c>
      <c r="D17" t="s">
        <v>19</v>
      </c>
      <c r="E17" t="s">
        <v>35</v>
      </c>
      <c r="F17">
        <v>35</v>
      </c>
      <c r="G17" t="s">
        <v>85</v>
      </c>
      <c r="H17" t="s">
        <v>13</v>
      </c>
      <c r="I17">
        <v>3</v>
      </c>
      <c r="J17">
        <v>80</v>
      </c>
      <c r="K17">
        <v>4</v>
      </c>
      <c r="L17">
        <v>2006</v>
      </c>
      <c r="M17">
        <v>1</v>
      </c>
      <c r="N17">
        <v>1</v>
      </c>
      <c r="O17" t="s">
        <v>84</v>
      </c>
      <c r="P17" t="s">
        <v>36</v>
      </c>
      <c r="Q17" t="s">
        <v>35</v>
      </c>
      <c r="R17" t="s">
        <v>19</v>
      </c>
      <c r="S17">
        <v>1</v>
      </c>
    </row>
    <row r="18" spans="1:19" x14ac:dyDescent="0.25">
      <c r="A18">
        <v>35</v>
      </c>
      <c r="B18" s="3">
        <v>38758</v>
      </c>
      <c r="C18" t="s">
        <v>3</v>
      </c>
      <c r="D18" t="s">
        <v>18</v>
      </c>
      <c r="E18" t="s">
        <v>43</v>
      </c>
      <c r="F18">
        <v>127.5</v>
      </c>
      <c r="G18" t="s">
        <v>88</v>
      </c>
      <c r="H18" t="s">
        <v>13</v>
      </c>
      <c r="I18">
        <v>3</v>
      </c>
      <c r="J18">
        <v>48</v>
      </c>
      <c r="K18">
        <v>29</v>
      </c>
      <c r="L18">
        <v>2006</v>
      </c>
      <c r="M18">
        <v>2</v>
      </c>
      <c r="N18">
        <v>1</v>
      </c>
      <c r="O18" t="s">
        <v>87</v>
      </c>
      <c r="P18" t="s">
        <v>44</v>
      </c>
      <c r="Q18" t="s">
        <v>43</v>
      </c>
      <c r="R18" t="s">
        <v>18</v>
      </c>
      <c r="S18">
        <v>2</v>
      </c>
    </row>
    <row r="19" spans="1:19" x14ac:dyDescent="0.25">
      <c r="A19">
        <v>39</v>
      </c>
      <c r="B19" s="3">
        <v>38798</v>
      </c>
      <c r="C19" t="s">
        <v>3</v>
      </c>
      <c r="D19" t="s">
        <v>21</v>
      </c>
      <c r="E19" t="s">
        <v>43</v>
      </c>
      <c r="F19">
        <v>1275</v>
      </c>
      <c r="G19" t="s">
        <v>86</v>
      </c>
      <c r="H19" t="s">
        <v>13</v>
      </c>
      <c r="I19">
        <v>3</v>
      </c>
      <c r="J19">
        <v>48</v>
      </c>
      <c r="K19">
        <v>8</v>
      </c>
      <c r="L19">
        <v>2006</v>
      </c>
      <c r="M19">
        <v>3</v>
      </c>
      <c r="N19">
        <v>1</v>
      </c>
      <c r="O19" t="s">
        <v>91</v>
      </c>
      <c r="P19" t="s">
        <v>44</v>
      </c>
      <c r="Q19" t="s">
        <v>43</v>
      </c>
      <c r="R19" t="s">
        <v>21</v>
      </c>
      <c r="S19">
        <v>0</v>
      </c>
    </row>
    <row r="20" spans="1:19" x14ac:dyDescent="0.25">
      <c r="A20">
        <v>58</v>
      </c>
      <c r="B20" s="3">
        <v>38829</v>
      </c>
      <c r="C20" t="s">
        <v>3</v>
      </c>
      <c r="D20" t="s">
        <v>19</v>
      </c>
      <c r="E20" t="s">
        <v>65</v>
      </c>
      <c r="F20">
        <v>3240</v>
      </c>
      <c r="G20" t="s">
        <v>85</v>
      </c>
      <c r="H20" t="s">
        <v>13</v>
      </c>
      <c r="I20">
        <v>3</v>
      </c>
      <c r="J20">
        <v>20</v>
      </c>
      <c r="K20">
        <v>4</v>
      </c>
      <c r="L20">
        <v>2006</v>
      </c>
      <c r="M20">
        <v>4</v>
      </c>
      <c r="N20">
        <v>2</v>
      </c>
      <c r="O20" t="s">
        <v>94</v>
      </c>
      <c r="P20" t="s">
        <v>50</v>
      </c>
      <c r="Q20" t="s">
        <v>65</v>
      </c>
      <c r="R20" t="s">
        <v>19</v>
      </c>
      <c r="S20">
        <v>1</v>
      </c>
    </row>
    <row r="21" spans="1:19" x14ac:dyDescent="0.25">
      <c r="A21">
        <v>58</v>
      </c>
      <c r="B21" s="3">
        <v>38829</v>
      </c>
      <c r="C21" t="s">
        <v>3</v>
      </c>
      <c r="D21" t="s">
        <v>19</v>
      </c>
      <c r="E21" t="s">
        <v>63</v>
      </c>
      <c r="F21">
        <v>280</v>
      </c>
      <c r="G21" t="s">
        <v>85</v>
      </c>
      <c r="H21" t="s">
        <v>13</v>
      </c>
      <c r="I21">
        <v>3</v>
      </c>
      <c r="J21">
        <v>52</v>
      </c>
      <c r="K21">
        <v>4</v>
      </c>
      <c r="L21">
        <v>2006</v>
      </c>
      <c r="M21">
        <v>4</v>
      </c>
      <c r="N21">
        <v>2</v>
      </c>
      <c r="O21" t="s">
        <v>94</v>
      </c>
      <c r="P21" t="s">
        <v>64</v>
      </c>
      <c r="Q21" t="s">
        <v>63</v>
      </c>
      <c r="R21" t="s">
        <v>19</v>
      </c>
      <c r="S21">
        <v>1</v>
      </c>
    </row>
    <row r="22" spans="1:19" x14ac:dyDescent="0.25">
      <c r="A22">
        <v>37</v>
      </c>
      <c r="B22" s="3">
        <v>38782</v>
      </c>
      <c r="C22" t="s">
        <v>6</v>
      </c>
      <c r="D22" t="s">
        <v>20</v>
      </c>
      <c r="E22" t="s">
        <v>47</v>
      </c>
      <c r="F22">
        <v>680</v>
      </c>
      <c r="G22" t="s">
        <v>90</v>
      </c>
      <c r="H22" t="s">
        <v>13</v>
      </c>
      <c r="I22">
        <v>8</v>
      </c>
      <c r="J22">
        <v>8</v>
      </c>
      <c r="K22">
        <v>6</v>
      </c>
      <c r="L22">
        <v>2006</v>
      </c>
      <c r="M22">
        <v>3</v>
      </c>
      <c r="N22">
        <v>1</v>
      </c>
      <c r="O22" t="s">
        <v>91</v>
      </c>
      <c r="P22" t="s">
        <v>48</v>
      </c>
      <c r="Q22" t="s">
        <v>47</v>
      </c>
      <c r="R22" t="s">
        <v>20</v>
      </c>
      <c r="S22">
        <v>0</v>
      </c>
    </row>
    <row r="23" spans="1:19" x14ac:dyDescent="0.25">
      <c r="A23">
        <v>32</v>
      </c>
      <c r="B23" s="3">
        <v>38739</v>
      </c>
      <c r="C23" t="s">
        <v>4</v>
      </c>
      <c r="D23" t="s">
        <v>25</v>
      </c>
      <c r="E23" t="s">
        <v>39</v>
      </c>
      <c r="F23">
        <v>270</v>
      </c>
      <c r="G23" t="s">
        <v>83</v>
      </c>
      <c r="H23" t="s">
        <v>13</v>
      </c>
      <c r="I23">
        <v>4</v>
      </c>
      <c r="J23">
        <v>1</v>
      </c>
      <c r="K23">
        <v>12</v>
      </c>
      <c r="L23">
        <v>2006</v>
      </c>
      <c r="M23">
        <v>1</v>
      </c>
      <c r="N23">
        <v>1</v>
      </c>
      <c r="O23" t="s">
        <v>84</v>
      </c>
      <c r="P23" t="s">
        <v>34</v>
      </c>
      <c r="Q23" t="s">
        <v>39</v>
      </c>
      <c r="R23" t="s">
        <v>25</v>
      </c>
      <c r="S23">
        <v>1</v>
      </c>
    </row>
    <row r="24" spans="1:19" x14ac:dyDescent="0.25">
      <c r="A24">
        <v>32</v>
      </c>
      <c r="B24" s="3">
        <v>38739</v>
      </c>
      <c r="C24" t="s">
        <v>4</v>
      </c>
      <c r="D24" t="s">
        <v>25</v>
      </c>
      <c r="E24" t="s">
        <v>40</v>
      </c>
      <c r="F24">
        <v>920</v>
      </c>
      <c r="G24" t="s">
        <v>83</v>
      </c>
      <c r="H24" t="s">
        <v>13</v>
      </c>
      <c r="I24">
        <v>4</v>
      </c>
      <c r="J24">
        <v>43</v>
      </c>
      <c r="K24">
        <v>12</v>
      </c>
      <c r="L24">
        <v>2006</v>
      </c>
      <c r="M24">
        <v>1</v>
      </c>
      <c r="N24">
        <v>1</v>
      </c>
      <c r="O24" t="s">
        <v>84</v>
      </c>
      <c r="P24" t="s">
        <v>34</v>
      </c>
      <c r="Q24" t="s">
        <v>40</v>
      </c>
      <c r="R24" t="s">
        <v>25</v>
      </c>
      <c r="S24">
        <v>1</v>
      </c>
    </row>
    <row r="25" spans="1:19" x14ac:dyDescent="0.25">
      <c r="A25">
        <v>36</v>
      </c>
      <c r="B25" s="3">
        <v>38771</v>
      </c>
      <c r="C25" t="s">
        <v>4</v>
      </c>
      <c r="D25" t="s">
        <v>17</v>
      </c>
      <c r="E25" t="s">
        <v>45</v>
      </c>
      <c r="F25">
        <v>1930</v>
      </c>
      <c r="G25" t="s">
        <v>89</v>
      </c>
      <c r="H25" t="s">
        <v>13</v>
      </c>
      <c r="I25">
        <v>4</v>
      </c>
      <c r="J25">
        <v>41</v>
      </c>
      <c r="K25">
        <v>3</v>
      </c>
      <c r="L25">
        <v>2006</v>
      </c>
      <c r="M25">
        <v>2</v>
      </c>
      <c r="N25">
        <v>1</v>
      </c>
      <c r="O25" t="s">
        <v>87</v>
      </c>
      <c r="P25" t="s">
        <v>46</v>
      </c>
      <c r="Q25" t="s">
        <v>45</v>
      </c>
      <c r="R25" t="s">
        <v>17</v>
      </c>
      <c r="S25">
        <v>2</v>
      </c>
    </row>
    <row r="26" spans="1:19" x14ac:dyDescent="0.25">
      <c r="A26">
        <v>40</v>
      </c>
      <c r="B26" s="3">
        <v>38800</v>
      </c>
      <c r="C26" t="s">
        <v>4</v>
      </c>
      <c r="D26" t="s">
        <v>23</v>
      </c>
      <c r="E26" t="s">
        <v>53</v>
      </c>
      <c r="F26">
        <v>598</v>
      </c>
      <c r="G26" t="s">
        <v>93</v>
      </c>
      <c r="H26" t="s">
        <v>13</v>
      </c>
      <c r="I26">
        <v>4</v>
      </c>
      <c r="J26">
        <v>81</v>
      </c>
      <c r="K26">
        <v>10</v>
      </c>
      <c r="L26">
        <v>2006</v>
      </c>
      <c r="M26">
        <v>3</v>
      </c>
      <c r="N26">
        <v>1</v>
      </c>
      <c r="O26" t="s">
        <v>91</v>
      </c>
      <c r="P26" t="s">
        <v>34</v>
      </c>
      <c r="Q26" t="s">
        <v>53</v>
      </c>
      <c r="R26" t="s">
        <v>23</v>
      </c>
      <c r="S26">
        <v>0</v>
      </c>
    </row>
    <row r="27" spans="1:19" x14ac:dyDescent="0.25">
      <c r="A27">
        <v>48</v>
      </c>
      <c r="B27" s="3">
        <v>38812</v>
      </c>
      <c r="C27" t="s">
        <v>4</v>
      </c>
      <c r="D27" t="s">
        <v>21</v>
      </c>
      <c r="E27" t="s">
        <v>47</v>
      </c>
      <c r="F27">
        <v>1000</v>
      </c>
      <c r="G27" t="s">
        <v>86</v>
      </c>
      <c r="H27" t="s">
        <v>13</v>
      </c>
      <c r="I27">
        <v>4</v>
      </c>
      <c r="J27">
        <v>8</v>
      </c>
      <c r="K27">
        <v>8</v>
      </c>
      <c r="L27">
        <v>2006</v>
      </c>
      <c r="M27">
        <v>4</v>
      </c>
      <c r="N27">
        <v>2</v>
      </c>
      <c r="O27" t="s">
        <v>94</v>
      </c>
      <c r="P27" t="s">
        <v>48</v>
      </c>
      <c r="Q27" t="s">
        <v>47</v>
      </c>
      <c r="R27" t="s">
        <v>21</v>
      </c>
      <c r="S27">
        <v>1</v>
      </c>
    </row>
    <row r="28" spans="1:19" x14ac:dyDescent="0.25">
      <c r="A28">
        <v>48</v>
      </c>
      <c r="B28" s="3">
        <v>38812</v>
      </c>
      <c r="C28" t="s">
        <v>4</v>
      </c>
      <c r="D28" t="s">
        <v>21</v>
      </c>
      <c r="E28" t="s">
        <v>41</v>
      </c>
      <c r="F28">
        <v>230</v>
      </c>
      <c r="G28" t="s">
        <v>86</v>
      </c>
      <c r="H28" t="s">
        <v>13</v>
      </c>
      <c r="I28">
        <v>4</v>
      </c>
      <c r="J28">
        <v>19</v>
      </c>
      <c r="K28">
        <v>8</v>
      </c>
      <c r="L28">
        <v>2006</v>
      </c>
      <c r="M28">
        <v>4</v>
      </c>
      <c r="N28">
        <v>2</v>
      </c>
      <c r="O28" t="s">
        <v>94</v>
      </c>
      <c r="P28" t="s">
        <v>42</v>
      </c>
      <c r="Q28" t="s">
        <v>41</v>
      </c>
      <c r="R28" t="s">
        <v>21</v>
      </c>
      <c r="S28">
        <v>1</v>
      </c>
    </row>
    <row r="29" spans="1:19" x14ac:dyDescent="0.25">
      <c r="A29">
        <v>75</v>
      </c>
      <c r="B29" s="3">
        <v>38873</v>
      </c>
      <c r="C29" t="s">
        <v>4</v>
      </c>
      <c r="D29" t="s">
        <v>21</v>
      </c>
      <c r="E29" t="s">
        <v>43</v>
      </c>
      <c r="F29">
        <v>510</v>
      </c>
      <c r="G29" t="s">
        <v>86</v>
      </c>
      <c r="H29" t="s">
        <v>13</v>
      </c>
      <c r="I29">
        <v>4</v>
      </c>
      <c r="J29">
        <v>48</v>
      </c>
      <c r="K29">
        <v>8</v>
      </c>
      <c r="L29">
        <v>2006</v>
      </c>
      <c r="M29">
        <v>6</v>
      </c>
      <c r="N29">
        <v>2</v>
      </c>
      <c r="O29" t="s">
        <v>97</v>
      </c>
      <c r="P29" t="s">
        <v>44</v>
      </c>
      <c r="Q29" t="s">
        <v>43</v>
      </c>
      <c r="R29" t="s">
        <v>21</v>
      </c>
      <c r="S29">
        <v>0</v>
      </c>
    </row>
    <row r="30" spans="1:19" x14ac:dyDescent="0.25">
      <c r="A30">
        <v>67</v>
      </c>
      <c r="B30" s="3">
        <v>38861</v>
      </c>
      <c r="C30" t="s">
        <v>4</v>
      </c>
      <c r="D30" t="s">
        <v>23</v>
      </c>
      <c r="E30" t="s">
        <v>67</v>
      </c>
      <c r="F30">
        <v>200</v>
      </c>
      <c r="G30" t="s">
        <v>93</v>
      </c>
      <c r="H30" t="s">
        <v>13</v>
      </c>
      <c r="I30">
        <v>4</v>
      </c>
      <c r="J30">
        <v>74</v>
      </c>
      <c r="K30">
        <v>10</v>
      </c>
      <c r="L30">
        <v>2006</v>
      </c>
      <c r="M30">
        <v>5</v>
      </c>
      <c r="N30">
        <v>2</v>
      </c>
      <c r="O30" t="s">
        <v>99</v>
      </c>
      <c r="P30" t="s">
        <v>36</v>
      </c>
      <c r="Q30" t="s">
        <v>67</v>
      </c>
      <c r="R30" t="s">
        <v>23</v>
      </c>
      <c r="S30">
        <v>2</v>
      </c>
    </row>
    <row r="31" spans="1:19" x14ac:dyDescent="0.25">
      <c r="A31">
        <v>63</v>
      </c>
      <c r="B31" s="3">
        <v>38832</v>
      </c>
      <c r="C31" t="s">
        <v>4</v>
      </c>
      <c r="D31" t="s">
        <v>17</v>
      </c>
      <c r="E31" t="s">
        <v>66</v>
      </c>
      <c r="F31">
        <v>500</v>
      </c>
      <c r="G31" t="s">
        <v>89</v>
      </c>
      <c r="H31" t="s">
        <v>13</v>
      </c>
      <c r="I31">
        <v>4</v>
      </c>
      <c r="J31">
        <v>3</v>
      </c>
      <c r="K31">
        <v>3</v>
      </c>
      <c r="L31">
        <v>2006</v>
      </c>
      <c r="M31">
        <v>4</v>
      </c>
      <c r="N31">
        <v>2</v>
      </c>
      <c r="O31" t="s">
        <v>94</v>
      </c>
      <c r="P31" t="s">
        <v>52</v>
      </c>
      <c r="Q31" t="s">
        <v>66</v>
      </c>
      <c r="R31" t="s">
        <v>17</v>
      </c>
      <c r="S31">
        <v>1</v>
      </c>
    </row>
    <row r="32" spans="1:19" x14ac:dyDescent="0.25">
      <c r="A32">
        <v>63</v>
      </c>
      <c r="B32" s="3">
        <v>38832</v>
      </c>
      <c r="C32" t="s">
        <v>4</v>
      </c>
      <c r="D32" t="s">
        <v>17</v>
      </c>
      <c r="E32" t="s">
        <v>47</v>
      </c>
      <c r="F32">
        <v>120</v>
      </c>
      <c r="G32" t="s">
        <v>89</v>
      </c>
      <c r="H32" t="s">
        <v>13</v>
      </c>
      <c r="I32">
        <v>4</v>
      </c>
      <c r="J32">
        <v>8</v>
      </c>
      <c r="K32">
        <v>3</v>
      </c>
      <c r="L32">
        <v>2006</v>
      </c>
      <c r="M32">
        <v>4</v>
      </c>
      <c r="N32">
        <v>2</v>
      </c>
      <c r="O32" t="s">
        <v>94</v>
      </c>
      <c r="P32" t="s">
        <v>48</v>
      </c>
      <c r="Q32" t="s">
        <v>47</v>
      </c>
      <c r="R32" t="s">
        <v>17</v>
      </c>
      <c r="S32">
        <v>1</v>
      </c>
    </row>
    <row r="33" spans="1:19" x14ac:dyDescent="0.25">
      <c r="A33">
        <v>33</v>
      </c>
      <c r="B33" s="3">
        <v>38747</v>
      </c>
      <c r="C33" t="s">
        <v>5</v>
      </c>
      <c r="D33" t="s">
        <v>21</v>
      </c>
      <c r="E33" t="s">
        <v>41</v>
      </c>
      <c r="F33">
        <v>276</v>
      </c>
      <c r="G33" t="s">
        <v>86</v>
      </c>
      <c r="H33" t="s">
        <v>13</v>
      </c>
      <c r="I33">
        <v>6</v>
      </c>
      <c r="J33">
        <v>19</v>
      </c>
      <c r="K33">
        <v>8</v>
      </c>
      <c r="L33">
        <v>2006</v>
      </c>
      <c r="M33">
        <v>1</v>
      </c>
      <c r="N33">
        <v>1</v>
      </c>
      <c r="O33" t="s">
        <v>84</v>
      </c>
      <c r="P33" t="s">
        <v>42</v>
      </c>
      <c r="Q33" t="s">
        <v>41</v>
      </c>
      <c r="R33" t="s">
        <v>21</v>
      </c>
      <c r="S33">
        <v>1</v>
      </c>
    </row>
    <row r="34" spans="1:19" x14ac:dyDescent="0.25">
      <c r="A34">
        <v>47</v>
      </c>
      <c r="B34" s="3">
        <v>38815</v>
      </c>
      <c r="C34" t="s">
        <v>5</v>
      </c>
      <c r="D34" t="s">
        <v>20</v>
      </c>
      <c r="E34" t="s">
        <v>33</v>
      </c>
      <c r="F34">
        <v>4200</v>
      </c>
      <c r="G34" t="s">
        <v>90</v>
      </c>
      <c r="H34" t="s">
        <v>13</v>
      </c>
      <c r="I34">
        <v>6</v>
      </c>
      <c r="J34">
        <v>34</v>
      </c>
      <c r="K34">
        <v>6</v>
      </c>
      <c r="L34">
        <v>2006</v>
      </c>
      <c r="M34">
        <v>4</v>
      </c>
      <c r="N34">
        <v>2</v>
      </c>
      <c r="O34" t="s">
        <v>94</v>
      </c>
      <c r="P34" t="s">
        <v>34</v>
      </c>
      <c r="Q34" t="s">
        <v>33</v>
      </c>
      <c r="R34" t="s">
        <v>20</v>
      </c>
      <c r="S34">
        <v>1</v>
      </c>
    </row>
    <row r="35" spans="1:19" x14ac:dyDescent="0.25">
      <c r="A35">
        <v>74</v>
      </c>
      <c r="B35" s="3">
        <v>38876</v>
      </c>
      <c r="C35" t="s">
        <v>5</v>
      </c>
      <c r="D35" t="s">
        <v>20</v>
      </c>
      <c r="E35" t="s">
        <v>43</v>
      </c>
      <c r="F35">
        <v>510</v>
      </c>
      <c r="G35" t="s">
        <v>90</v>
      </c>
      <c r="H35" t="s">
        <v>13</v>
      </c>
      <c r="I35">
        <v>6</v>
      </c>
      <c r="J35">
        <v>48</v>
      </c>
      <c r="K35">
        <v>6</v>
      </c>
      <c r="L35">
        <v>2006</v>
      </c>
      <c r="M35">
        <v>6</v>
      </c>
      <c r="N35">
        <v>2</v>
      </c>
      <c r="O35" t="s">
        <v>97</v>
      </c>
      <c r="P35" t="s">
        <v>44</v>
      </c>
      <c r="Q35" t="s">
        <v>43</v>
      </c>
      <c r="R35" t="s">
        <v>20</v>
      </c>
      <c r="S35">
        <v>0</v>
      </c>
    </row>
    <row r="36" spans="1:19" x14ac:dyDescent="0.25">
      <c r="A36">
        <v>60</v>
      </c>
      <c r="B36" s="3">
        <v>38837</v>
      </c>
      <c r="C36" t="s">
        <v>5</v>
      </c>
      <c r="D36" t="s">
        <v>21</v>
      </c>
      <c r="E36" t="s">
        <v>56</v>
      </c>
      <c r="F36">
        <v>1392</v>
      </c>
      <c r="G36" t="s">
        <v>86</v>
      </c>
      <c r="H36" t="s">
        <v>13</v>
      </c>
      <c r="I36">
        <v>6</v>
      </c>
      <c r="J36">
        <v>72</v>
      </c>
      <c r="K36">
        <v>8</v>
      </c>
      <c r="L36">
        <v>2006</v>
      </c>
      <c r="M36">
        <v>4</v>
      </c>
      <c r="N36">
        <v>2</v>
      </c>
      <c r="O36" t="s">
        <v>94</v>
      </c>
      <c r="P36" t="s">
        <v>57</v>
      </c>
      <c r="Q36" t="s">
        <v>56</v>
      </c>
      <c r="R36" t="s">
        <v>21</v>
      </c>
      <c r="S36">
        <v>1</v>
      </c>
    </row>
    <row r="37" spans="1:19" x14ac:dyDescent="0.25">
      <c r="A37">
        <v>42</v>
      </c>
      <c r="B37" s="3">
        <v>38800</v>
      </c>
      <c r="C37" t="s">
        <v>7</v>
      </c>
      <c r="D37" t="s">
        <v>23</v>
      </c>
      <c r="E37" t="s">
        <v>49</v>
      </c>
      <c r="F37">
        <v>250</v>
      </c>
      <c r="G37" t="s">
        <v>93</v>
      </c>
      <c r="H37" t="s">
        <v>13</v>
      </c>
      <c r="I37">
        <v>1</v>
      </c>
      <c r="J37">
        <v>6</v>
      </c>
      <c r="K37">
        <v>10</v>
      </c>
      <c r="L37">
        <v>2006</v>
      </c>
      <c r="M37">
        <v>3</v>
      </c>
      <c r="N37">
        <v>1</v>
      </c>
      <c r="O37" t="s">
        <v>91</v>
      </c>
      <c r="P37" t="s">
        <v>50</v>
      </c>
      <c r="Q37" t="s">
        <v>49</v>
      </c>
      <c r="R37" t="s">
        <v>23</v>
      </c>
      <c r="S37">
        <v>0</v>
      </c>
    </row>
    <row r="38" spans="1:19" x14ac:dyDescent="0.25">
      <c r="A38">
        <v>42</v>
      </c>
      <c r="B38" s="3">
        <v>38800</v>
      </c>
      <c r="C38" t="s">
        <v>7</v>
      </c>
      <c r="D38" t="s">
        <v>23</v>
      </c>
      <c r="E38" t="s">
        <v>51</v>
      </c>
      <c r="F38">
        <v>220</v>
      </c>
      <c r="G38" t="s">
        <v>93</v>
      </c>
      <c r="H38" t="s">
        <v>13</v>
      </c>
      <c r="I38">
        <v>1</v>
      </c>
      <c r="J38">
        <v>4</v>
      </c>
      <c r="K38">
        <v>10</v>
      </c>
      <c r="L38">
        <v>2006</v>
      </c>
      <c r="M38">
        <v>3</v>
      </c>
      <c r="N38">
        <v>1</v>
      </c>
      <c r="O38" t="s">
        <v>91</v>
      </c>
      <c r="P38" t="s">
        <v>52</v>
      </c>
      <c r="Q38" t="s">
        <v>51</v>
      </c>
      <c r="R38" t="s">
        <v>23</v>
      </c>
      <c r="S38">
        <v>0</v>
      </c>
    </row>
    <row r="39" spans="1:19" x14ac:dyDescent="0.25">
      <c r="A39">
        <v>42</v>
      </c>
      <c r="B39" s="3">
        <v>38800</v>
      </c>
      <c r="C39" t="s">
        <v>7</v>
      </c>
      <c r="D39" t="s">
        <v>23</v>
      </c>
      <c r="E39" t="s">
        <v>41</v>
      </c>
      <c r="F39">
        <v>92</v>
      </c>
      <c r="G39" t="s">
        <v>93</v>
      </c>
      <c r="H39" t="s">
        <v>13</v>
      </c>
      <c r="I39">
        <v>1</v>
      </c>
      <c r="J39">
        <v>19</v>
      </c>
      <c r="K39">
        <v>10</v>
      </c>
      <c r="L39">
        <v>2006</v>
      </c>
      <c r="M39">
        <v>3</v>
      </c>
      <c r="N39">
        <v>1</v>
      </c>
      <c r="O39" t="s">
        <v>91</v>
      </c>
      <c r="P39" t="s">
        <v>42</v>
      </c>
      <c r="Q39" t="s">
        <v>41</v>
      </c>
      <c r="R39" t="s">
        <v>23</v>
      </c>
      <c r="S39">
        <v>0</v>
      </c>
    </row>
    <row r="40" spans="1:19" x14ac:dyDescent="0.25">
      <c r="A40">
        <v>45</v>
      </c>
      <c r="B40" s="3">
        <v>38814</v>
      </c>
      <c r="C40" t="s">
        <v>7</v>
      </c>
      <c r="D40" t="s">
        <v>16</v>
      </c>
      <c r="E40" t="s">
        <v>45</v>
      </c>
      <c r="F40">
        <v>482.5</v>
      </c>
      <c r="G40" t="s">
        <v>92</v>
      </c>
      <c r="H40" t="s">
        <v>13</v>
      </c>
      <c r="I40">
        <v>1</v>
      </c>
      <c r="J40">
        <v>41</v>
      </c>
      <c r="K40">
        <v>28</v>
      </c>
      <c r="L40">
        <v>2006</v>
      </c>
      <c r="M40">
        <v>4</v>
      </c>
      <c r="N40">
        <v>2</v>
      </c>
      <c r="O40" t="s">
        <v>94</v>
      </c>
      <c r="P40" t="s">
        <v>46</v>
      </c>
      <c r="Q40" t="s">
        <v>45</v>
      </c>
      <c r="R40" t="s">
        <v>16</v>
      </c>
      <c r="S40">
        <v>1</v>
      </c>
    </row>
    <row r="41" spans="1:19" x14ac:dyDescent="0.25">
      <c r="A41">
        <v>45</v>
      </c>
      <c r="B41" s="3">
        <v>38814</v>
      </c>
      <c r="C41" t="s">
        <v>7</v>
      </c>
      <c r="D41" t="s">
        <v>16</v>
      </c>
      <c r="E41" t="s">
        <v>54</v>
      </c>
      <c r="F41">
        <v>920</v>
      </c>
      <c r="G41" t="s">
        <v>92</v>
      </c>
      <c r="H41" t="s">
        <v>13</v>
      </c>
      <c r="I41">
        <v>1</v>
      </c>
      <c r="J41">
        <v>40</v>
      </c>
      <c r="K41">
        <v>28</v>
      </c>
      <c r="L41">
        <v>2006</v>
      </c>
      <c r="M41">
        <v>4</v>
      </c>
      <c r="N41">
        <v>2</v>
      </c>
      <c r="O41" t="s">
        <v>94</v>
      </c>
      <c r="P41" t="s">
        <v>55</v>
      </c>
      <c r="Q41" t="s">
        <v>54</v>
      </c>
      <c r="R41" t="s">
        <v>16</v>
      </c>
      <c r="S41">
        <v>1</v>
      </c>
    </row>
    <row r="42" spans="1:19" x14ac:dyDescent="0.25">
      <c r="A42">
        <v>55</v>
      </c>
      <c r="B42" s="3">
        <v>38812</v>
      </c>
      <c r="C42" t="s">
        <v>7</v>
      </c>
      <c r="D42" t="s">
        <v>18</v>
      </c>
      <c r="E42" t="s">
        <v>33</v>
      </c>
      <c r="F42">
        <v>1218</v>
      </c>
      <c r="G42" t="s">
        <v>88</v>
      </c>
      <c r="H42" t="s">
        <v>13</v>
      </c>
      <c r="I42">
        <v>1</v>
      </c>
      <c r="J42">
        <v>34</v>
      </c>
      <c r="K42">
        <v>29</v>
      </c>
      <c r="L42">
        <v>2006</v>
      </c>
      <c r="M42">
        <v>4</v>
      </c>
      <c r="N42">
        <v>2</v>
      </c>
      <c r="O42" t="s">
        <v>94</v>
      </c>
      <c r="P42" t="s">
        <v>34</v>
      </c>
      <c r="Q42" t="s">
        <v>33</v>
      </c>
      <c r="R42" t="s">
        <v>18</v>
      </c>
      <c r="S42">
        <v>1</v>
      </c>
    </row>
    <row r="43" spans="1:19" x14ac:dyDescent="0.25">
      <c r="A43">
        <v>78</v>
      </c>
      <c r="B43" s="3">
        <v>38873</v>
      </c>
      <c r="C43" t="s">
        <v>7</v>
      </c>
      <c r="D43" t="s">
        <v>18</v>
      </c>
      <c r="E43" t="s">
        <v>68</v>
      </c>
      <c r="F43">
        <v>1560</v>
      </c>
      <c r="G43" t="s">
        <v>88</v>
      </c>
      <c r="H43" t="s">
        <v>13</v>
      </c>
      <c r="I43">
        <v>1</v>
      </c>
      <c r="J43">
        <v>17</v>
      </c>
      <c r="K43">
        <v>29</v>
      </c>
      <c r="L43">
        <v>2006</v>
      </c>
      <c r="M43">
        <v>6</v>
      </c>
      <c r="N43">
        <v>2</v>
      </c>
      <c r="O43" t="s">
        <v>97</v>
      </c>
      <c r="P43" t="s">
        <v>69</v>
      </c>
      <c r="Q43" t="s">
        <v>68</v>
      </c>
      <c r="R43" t="s">
        <v>18</v>
      </c>
      <c r="S43">
        <v>0</v>
      </c>
    </row>
    <row r="44" spans="1:19" x14ac:dyDescent="0.25">
      <c r="A44">
        <v>72</v>
      </c>
      <c r="B44" s="3">
        <v>38875</v>
      </c>
      <c r="C44" t="s">
        <v>7</v>
      </c>
      <c r="D44" t="s">
        <v>16</v>
      </c>
      <c r="E44" t="s">
        <v>40</v>
      </c>
      <c r="F44">
        <v>230</v>
      </c>
      <c r="G44" t="s">
        <v>92</v>
      </c>
      <c r="H44" t="s">
        <v>13</v>
      </c>
      <c r="I44">
        <v>1</v>
      </c>
      <c r="J44">
        <v>43</v>
      </c>
      <c r="K44">
        <v>28</v>
      </c>
      <c r="L44">
        <v>2006</v>
      </c>
      <c r="M44">
        <v>6</v>
      </c>
      <c r="N44">
        <v>2</v>
      </c>
      <c r="O44" t="s">
        <v>97</v>
      </c>
      <c r="P44" t="s">
        <v>34</v>
      </c>
      <c r="Q44" t="s">
        <v>40</v>
      </c>
      <c r="R44" t="s">
        <v>16</v>
      </c>
      <c r="S44">
        <v>0</v>
      </c>
    </row>
    <row r="45" spans="1:19" x14ac:dyDescent="0.25">
      <c r="A45">
        <v>71</v>
      </c>
      <c r="B45" s="3">
        <v>38861</v>
      </c>
      <c r="C45" t="s">
        <v>7</v>
      </c>
      <c r="D45" t="s">
        <v>14</v>
      </c>
      <c r="E45" t="s">
        <v>54</v>
      </c>
      <c r="F45">
        <v>736</v>
      </c>
      <c r="G45" t="s">
        <v>98</v>
      </c>
      <c r="H45" t="s">
        <v>13</v>
      </c>
      <c r="I45">
        <v>1</v>
      </c>
      <c r="J45">
        <v>40</v>
      </c>
      <c r="K45">
        <v>1</v>
      </c>
      <c r="L45">
        <v>2006</v>
      </c>
      <c r="M45">
        <v>5</v>
      </c>
      <c r="N45">
        <v>2</v>
      </c>
      <c r="O45" t="s">
        <v>99</v>
      </c>
      <c r="P45" t="s">
        <v>55</v>
      </c>
      <c r="Q45" t="s">
        <v>54</v>
      </c>
      <c r="R45" t="s">
        <v>14</v>
      </c>
      <c r="S45">
        <v>2</v>
      </c>
    </row>
    <row r="46" spans="1:19" x14ac:dyDescent="0.25">
      <c r="A46">
        <v>70</v>
      </c>
      <c r="B46" s="3">
        <v>38861</v>
      </c>
      <c r="C46" t="s">
        <v>7</v>
      </c>
      <c r="D46" t="s">
        <v>24</v>
      </c>
      <c r="E46" t="s">
        <v>47</v>
      </c>
      <c r="F46">
        <v>800</v>
      </c>
      <c r="G46" t="s">
        <v>96</v>
      </c>
      <c r="H46" t="s">
        <v>13</v>
      </c>
      <c r="I46">
        <v>1</v>
      </c>
      <c r="J46">
        <v>8</v>
      </c>
      <c r="K46">
        <v>11</v>
      </c>
      <c r="L46">
        <v>2006</v>
      </c>
      <c r="M46">
        <v>5</v>
      </c>
      <c r="N46">
        <v>2</v>
      </c>
      <c r="O46" t="s">
        <v>99</v>
      </c>
      <c r="P46" t="s">
        <v>48</v>
      </c>
      <c r="Q46" t="s">
        <v>47</v>
      </c>
      <c r="R46" t="s">
        <v>24</v>
      </c>
      <c r="S46">
        <v>2</v>
      </c>
    </row>
    <row r="47" spans="1:19" x14ac:dyDescent="0.25">
      <c r="A47">
        <v>69</v>
      </c>
      <c r="B47" s="3">
        <v>38861</v>
      </c>
      <c r="C47" t="s">
        <v>7</v>
      </c>
      <c r="D47" t="s">
        <v>23</v>
      </c>
      <c r="E47" t="s">
        <v>35</v>
      </c>
      <c r="F47">
        <v>52.5</v>
      </c>
      <c r="G47" t="s">
        <v>93</v>
      </c>
      <c r="H47" t="s">
        <v>13</v>
      </c>
      <c r="I47">
        <v>1</v>
      </c>
      <c r="J47">
        <v>80</v>
      </c>
      <c r="K47">
        <v>10</v>
      </c>
      <c r="L47">
        <v>2006</v>
      </c>
      <c r="M47">
        <v>5</v>
      </c>
      <c r="N47">
        <v>2</v>
      </c>
      <c r="O47" t="s">
        <v>99</v>
      </c>
      <c r="P47" t="s">
        <v>36</v>
      </c>
      <c r="Q47" t="s">
        <v>35</v>
      </c>
      <c r="R47" t="s">
        <v>23</v>
      </c>
      <c r="S47">
        <v>2</v>
      </c>
    </row>
    <row r="48" spans="1:19" x14ac:dyDescent="0.25">
      <c r="A48">
        <v>46</v>
      </c>
      <c r="B48" s="3">
        <v>38812</v>
      </c>
      <c r="C48" t="s">
        <v>9</v>
      </c>
      <c r="D48" t="s">
        <v>22</v>
      </c>
      <c r="E48" t="s">
        <v>60</v>
      </c>
      <c r="F48">
        <v>1950</v>
      </c>
      <c r="G48" t="s">
        <v>95</v>
      </c>
      <c r="H48" t="s">
        <v>13</v>
      </c>
      <c r="I48">
        <v>7</v>
      </c>
      <c r="J48">
        <v>57</v>
      </c>
      <c r="K48">
        <v>9</v>
      </c>
      <c r="L48">
        <v>2006</v>
      </c>
      <c r="M48">
        <v>4</v>
      </c>
      <c r="N48">
        <v>2</v>
      </c>
      <c r="O48" t="s">
        <v>94</v>
      </c>
      <c r="P48" t="s">
        <v>61</v>
      </c>
      <c r="Q48" t="s">
        <v>60</v>
      </c>
      <c r="R48" t="s">
        <v>22</v>
      </c>
      <c r="S48">
        <v>1</v>
      </c>
    </row>
    <row r="49" spans="1:19" x14ac:dyDescent="0.25">
      <c r="A49">
        <v>46</v>
      </c>
      <c r="B49" s="3">
        <v>38812</v>
      </c>
      <c r="C49" t="s">
        <v>9</v>
      </c>
      <c r="D49" t="s">
        <v>22</v>
      </c>
      <c r="E49" t="s">
        <v>56</v>
      </c>
      <c r="F49">
        <v>1740</v>
      </c>
      <c r="G49" t="s">
        <v>95</v>
      </c>
      <c r="H49" t="s">
        <v>13</v>
      </c>
      <c r="I49">
        <v>7</v>
      </c>
      <c r="J49">
        <v>72</v>
      </c>
      <c r="K49">
        <v>9</v>
      </c>
      <c r="L49">
        <v>2006</v>
      </c>
      <c r="M49">
        <v>4</v>
      </c>
      <c r="N49">
        <v>2</v>
      </c>
      <c r="O49" t="s">
        <v>94</v>
      </c>
      <c r="P49" t="s">
        <v>57</v>
      </c>
      <c r="Q49" t="s">
        <v>56</v>
      </c>
      <c r="R49" t="s">
        <v>22</v>
      </c>
      <c r="S49">
        <v>1</v>
      </c>
    </row>
    <row r="50" spans="1:19" x14ac:dyDescent="0.25">
      <c r="A50">
        <v>73</v>
      </c>
      <c r="B50" s="3">
        <v>38873</v>
      </c>
      <c r="C50" t="s">
        <v>9</v>
      </c>
      <c r="D50" t="s">
        <v>22</v>
      </c>
      <c r="E50" t="s">
        <v>45</v>
      </c>
      <c r="F50">
        <v>96.5</v>
      </c>
      <c r="G50" t="s">
        <v>95</v>
      </c>
      <c r="H50" t="s">
        <v>13</v>
      </c>
      <c r="I50">
        <v>7</v>
      </c>
      <c r="J50">
        <v>41</v>
      </c>
      <c r="K50">
        <v>9</v>
      </c>
      <c r="L50">
        <v>2006</v>
      </c>
      <c r="M50">
        <v>6</v>
      </c>
      <c r="N50">
        <v>2</v>
      </c>
      <c r="O50" t="s">
        <v>97</v>
      </c>
      <c r="P50" t="s">
        <v>46</v>
      </c>
      <c r="Q50" t="s">
        <v>45</v>
      </c>
      <c r="R50" t="s">
        <v>22</v>
      </c>
      <c r="S50">
        <v>0</v>
      </c>
    </row>
  </sheetData>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Dashboard</vt:lpstr>
      <vt:lpstr>Sheet1</vt:lpstr>
      <vt:lpstr>Sheet7</vt:lpstr>
      <vt:lpstr>Sheet8</vt:lpstr>
      <vt:lpstr>Sheet5</vt:lpstr>
    </vt:vector>
  </TitlesOfParts>
  <Company>Grizli777</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User</cp:lastModifiedBy>
  <dcterms:created xsi:type="dcterms:W3CDTF">2018-02-07T21:52:02Z</dcterms:created>
  <dcterms:modified xsi:type="dcterms:W3CDTF">2018-02-08T16:44:44Z</dcterms:modified>
</cp:coreProperties>
</file>